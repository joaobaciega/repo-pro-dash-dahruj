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smin Baciega\OneDrive\Documents\DASH DAHRUJ\MySQL Dahurj\"/>
    </mc:Choice>
  </mc:AlternateContent>
  <xr:revisionPtr revIDLastSave="0" documentId="13_ncr:1_{D858F6B7-D589-4362-8466-533A2A111DBC}" xr6:coauthVersionLast="47" xr6:coauthVersionMax="47" xr10:uidLastSave="{00000000-0000-0000-0000-000000000000}"/>
  <bookViews>
    <workbookView xWindow="-108" yWindow="-108" windowWidth="23256" windowHeight="12456" activeTab="1" xr2:uid="{FDA4BB6A-594C-4AD0-98A9-6F56D71ADE4E}"/>
  </bookViews>
  <sheets>
    <sheet name="Planilha1" sheetId="1" r:id="rId1"/>
    <sheet name="Planilha2" sheetId="2" r:id="rId2"/>
    <sheet name="Sheet1" sheetId="3" r:id="rId3"/>
    <sheet name="Sheet2" sheetId="4" r:id="rId4"/>
  </sheets>
  <definedNames>
    <definedName name="_xlnm._FilterDatabase" localSheetId="0" hidden="1">Planilha1!$A$1:$F$62</definedName>
    <definedName name="_xlnm._FilterDatabase" localSheetId="1" hidden="1">Planilha2!$B$5:$Y$59</definedName>
    <definedName name="_xlnm._FilterDatabase" localSheetId="2" hidden="1">Sheet1!$A$1:$N$205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7" i="2" l="1"/>
  <c r="AC57" i="2"/>
  <c r="Z57" i="2"/>
  <c r="S57" i="2"/>
  <c r="N7" i="2"/>
  <c r="N8" i="2"/>
  <c r="N9" i="2"/>
  <c r="N14" i="2"/>
  <c r="N15" i="2"/>
  <c r="N16" i="2"/>
  <c r="N17" i="2"/>
  <c r="N22" i="2"/>
  <c r="N23" i="2"/>
  <c r="N24" i="2"/>
  <c r="N25" i="2"/>
  <c r="N30" i="2"/>
  <c r="N31" i="2"/>
  <c r="N32" i="2"/>
  <c r="N33" i="2"/>
  <c r="N38" i="2"/>
  <c r="N39" i="2"/>
  <c r="N40" i="2"/>
  <c r="N41" i="2"/>
  <c r="N46" i="2"/>
  <c r="N47" i="2"/>
  <c r="N48" i="2"/>
  <c r="N49" i="2"/>
  <c r="N54" i="2"/>
  <c r="N55" i="2"/>
  <c r="N56" i="2"/>
  <c r="N10" i="2"/>
  <c r="N11" i="2"/>
  <c r="N12" i="2"/>
  <c r="N13" i="2"/>
  <c r="N18" i="2"/>
  <c r="N19" i="2"/>
  <c r="N20" i="2"/>
  <c r="N21" i="2"/>
  <c r="N26" i="2"/>
  <c r="N27" i="2"/>
  <c r="N28" i="2"/>
  <c r="N29" i="2"/>
  <c r="N34" i="2"/>
  <c r="N35" i="2"/>
  <c r="N36" i="2"/>
  <c r="N37" i="2"/>
  <c r="N42" i="2"/>
  <c r="N43" i="2"/>
  <c r="N44" i="2"/>
  <c r="N45" i="2"/>
  <c r="N50" i="2"/>
  <c r="N51" i="2"/>
  <c r="N52" i="2"/>
  <c r="N53" i="2"/>
  <c r="L57" i="2"/>
  <c r="AC54" i="2"/>
  <c r="AF54" i="2" s="1"/>
  <c r="AG54" i="2" s="1"/>
  <c r="N6" i="2" l="1"/>
  <c r="AE50" i="2"/>
  <c r="AC50" i="2"/>
  <c r="AE55" i="2"/>
  <c r="AC55" i="2"/>
  <c r="AE51" i="2"/>
  <c r="AC51" i="2"/>
  <c r="AA57" i="2"/>
  <c r="AD57" i="2"/>
  <c r="AE53" i="2"/>
  <c r="AE52" i="2"/>
  <c r="AE56" i="2"/>
  <c r="AE41" i="2"/>
  <c r="AE45" i="2"/>
  <c r="AE47" i="2"/>
  <c r="AE46" i="2"/>
  <c r="AE42" i="2"/>
  <c r="AE49" i="2"/>
  <c r="AE48" i="2"/>
  <c r="AE38" i="2"/>
  <c r="AE43" i="2"/>
  <c r="AE39" i="2"/>
  <c r="AE36" i="2"/>
  <c r="AE44" i="2"/>
  <c r="AE37" i="2"/>
  <c r="AE40" i="2"/>
  <c r="AE29" i="2"/>
  <c r="AE30" i="2"/>
  <c r="AE31" i="2"/>
  <c r="AE35" i="2"/>
  <c r="AE26" i="2"/>
  <c r="AE33" i="2"/>
  <c r="AE32" i="2"/>
  <c r="AE34" i="2"/>
  <c r="AE25" i="2"/>
  <c r="AE23" i="2"/>
  <c r="AE24" i="2"/>
  <c r="AE28" i="2"/>
  <c r="AE21" i="2"/>
  <c r="AE22" i="2"/>
  <c r="AE27" i="2"/>
  <c r="AE20" i="2"/>
  <c r="AE17" i="2"/>
  <c r="AE16" i="2"/>
  <c r="AE14" i="2"/>
  <c r="AE19" i="2"/>
  <c r="AE13" i="2"/>
  <c r="AE12" i="2"/>
  <c r="AE18" i="2"/>
  <c r="AE9" i="2"/>
  <c r="AE11" i="2"/>
  <c r="AE15" i="2"/>
  <c r="AE8" i="2"/>
  <c r="AE10" i="2"/>
  <c r="AE7" i="2"/>
  <c r="AE6" i="2"/>
  <c r="AC53" i="2"/>
  <c r="AC52" i="2"/>
  <c r="AC56" i="2"/>
  <c r="AC41" i="2"/>
  <c r="AC45" i="2"/>
  <c r="AC47" i="2"/>
  <c r="AC46" i="2"/>
  <c r="AC42" i="2"/>
  <c r="AC49" i="2"/>
  <c r="AC48" i="2"/>
  <c r="AC38" i="2"/>
  <c r="AC43" i="2"/>
  <c r="AC39" i="2"/>
  <c r="AC36" i="2"/>
  <c r="AC44" i="2"/>
  <c r="AC37" i="2"/>
  <c r="AC40" i="2"/>
  <c r="AC29" i="2"/>
  <c r="AC30" i="2"/>
  <c r="AC31" i="2"/>
  <c r="AC35" i="2"/>
  <c r="AC26" i="2"/>
  <c r="AC33" i="2"/>
  <c r="AC32" i="2"/>
  <c r="AC34" i="2"/>
  <c r="AC25" i="2"/>
  <c r="AC23" i="2"/>
  <c r="AC24" i="2"/>
  <c r="AC28" i="2"/>
  <c r="AC21" i="2"/>
  <c r="AC22" i="2"/>
  <c r="AC27" i="2"/>
  <c r="AC20" i="2"/>
  <c r="AC17" i="2"/>
  <c r="AC16" i="2"/>
  <c r="AC14" i="2"/>
  <c r="AC19" i="2"/>
  <c r="AC13" i="2"/>
  <c r="AC12" i="2"/>
  <c r="AC18" i="2"/>
  <c r="AC9" i="2"/>
  <c r="AC11" i="2"/>
  <c r="AC15" i="2"/>
  <c r="AC8" i="2"/>
  <c r="AC10" i="2"/>
  <c r="AC7" i="2"/>
  <c r="AC6" i="2"/>
  <c r="X38" i="2"/>
  <c r="V38" i="2"/>
  <c r="Q38" i="2"/>
  <c r="O38" i="2"/>
  <c r="J38" i="2"/>
  <c r="H38" i="2"/>
  <c r="X49" i="2"/>
  <c r="X29" i="2"/>
  <c r="X56" i="2"/>
  <c r="X41" i="2"/>
  <c r="X21" i="2"/>
  <c r="X46" i="2"/>
  <c r="X47" i="2"/>
  <c r="X36" i="2"/>
  <c r="X18" i="2"/>
  <c r="X45" i="2"/>
  <c r="X37" i="2"/>
  <c r="X25" i="2"/>
  <c r="X31" i="2"/>
  <c r="X43" i="2"/>
  <c r="X16" i="2"/>
  <c r="X26" i="2"/>
  <c r="X15" i="2"/>
  <c r="X52" i="2"/>
  <c r="X12" i="2"/>
  <c r="X19" i="2"/>
  <c r="X8" i="2"/>
  <c r="X11" i="2"/>
  <c r="V49" i="2"/>
  <c r="V29" i="2"/>
  <c r="V56" i="2"/>
  <c r="V41" i="2"/>
  <c r="V21" i="2"/>
  <c r="V46" i="2"/>
  <c r="V47" i="2"/>
  <c r="V36" i="2"/>
  <c r="V18" i="2"/>
  <c r="V45" i="2"/>
  <c r="V37" i="2"/>
  <c r="V25" i="2"/>
  <c r="V31" i="2"/>
  <c r="V43" i="2"/>
  <c r="V16" i="2"/>
  <c r="V26" i="2"/>
  <c r="V15" i="2"/>
  <c r="V52" i="2"/>
  <c r="V12" i="2"/>
  <c r="V19" i="2"/>
  <c r="V8" i="2"/>
  <c r="V11" i="2"/>
  <c r="Q49" i="2"/>
  <c r="Q29" i="2"/>
  <c r="Q56" i="2"/>
  <c r="Q41" i="2"/>
  <c r="Q21" i="2"/>
  <c r="Q46" i="2"/>
  <c r="Q47" i="2"/>
  <c r="Q36" i="2"/>
  <c r="Q18" i="2"/>
  <c r="Q45" i="2"/>
  <c r="Q37" i="2"/>
  <c r="Q25" i="2"/>
  <c r="Q31" i="2"/>
  <c r="Q43" i="2"/>
  <c r="Q16" i="2"/>
  <c r="Q26" i="2"/>
  <c r="Q15" i="2"/>
  <c r="Q52" i="2"/>
  <c r="Q12" i="2"/>
  <c r="Q19" i="2"/>
  <c r="Q8" i="2"/>
  <c r="Q11" i="2"/>
  <c r="O49" i="2"/>
  <c r="O29" i="2"/>
  <c r="O56" i="2"/>
  <c r="O41" i="2"/>
  <c r="O21" i="2"/>
  <c r="O46" i="2"/>
  <c r="O47" i="2"/>
  <c r="O36" i="2"/>
  <c r="O18" i="2"/>
  <c r="O45" i="2"/>
  <c r="O37" i="2"/>
  <c r="O25" i="2"/>
  <c r="O31" i="2"/>
  <c r="O43" i="2"/>
  <c r="O16" i="2"/>
  <c r="O26" i="2"/>
  <c r="O15" i="2"/>
  <c r="O52" i="2"/>
  <c r="O12" i="2"/>
  <c r="O19" i="2"/>
  <c r="O8" i="2"/>
  <c r="O11" i="2"/>
  <c r="J49" i="2"/>
  <c r="J29" i="2"/>
  <c r="J56" i="2"/>
  <c r="J41" i="2"/>
  <c r="J21" i="2"/>
  <c r="J46" i="2"/>
  <c r="J47" i="2"/>
  <c r="J36" i="2"/>
  <c r="J18" i="2"/>
  <c r="J45" i="2"/>
  <c r="J37" i="2"/>
  <c r="J25" i="2"/>
  <c r="J31" i="2"/>
  <c r="J43" i="2"/>
  <c r="J16" i="2"/>
  <c r="J26" i="2"/>
  <c r="J15" i="2"/>
  <c r="J52" i="2"/>
  <c r="J12" i="2"/>
  <c r="J19" i="2"/>
  <c r="J8" i="2"/>
  <c r="J11" i="2"/>
  <c r="H49" i="2"/>
  <c r="H29" i="2"/>
  <c r="H56" i="2"/>
  <c r="H41" i="2"/>
  <c r="H21" i="2"/>
  <c r="H46" i="2"/>
  <c r="H47" i="2"/>
  <c r="H36" i="2"/>
  <c r="H18" i="2"/>
  <c r="H45" i="2"/>
  <c r="H37" i="2"/>
  <c r="H25" i="2"/>
  <c r="H31" i="2"/>
  <c r="H43" i="2"/>
  <c r="H16" i="2"/>
  <c r="H26" i="2"/>
  <c r="H15" i="2"/>
  <c r="H52" i="2"/>
  <c r="H12" i="2"/>
  <c r="H19" i="2"/>
  <c r="H8" i="2"/>
  <c r="H11" i="2"/>
  <c r="AF55" i="2" l="1"/>
  <c r="AG55" i="2" s="1"/>
  <c r="AF50" i="2"/>
  <c r="AG50" i="2" s="1"/>
  <c r="AF51" i="2"/>
  <c r="AG51" i="2" s="1"/>
  <c r="AF11" i="2"/>
  <c r="AF17" i="2"/>
  <c r="AF25" i="2"/>
  <c r="AF29" i="2"/>
  <c r="AF15" i="2"/>
  <c r="AF16" i="2"/>
  <c r="AF23" i="2"/>
  <c r="AF30" i="2"/>
  <c r="AF38" i="2"/>
  <c r="AF56" i="2"/>
  <c r="AF48" i="2"/>
  <c r="AF27" i="2"/>
  <c r="AF52" i="2"/>
  <c r="AF32" i="2"/>
  <c r="AF7" i="2"/>
  <c r="AF21" i="2"/>
  <c r="AF26" i="2"/>
  <c r="AF36" i="2"/>
  <c r="AF47" i="2"/>
  <c r="AF42" i="2"/>
  <c r="AF9" i="2"/>
  <c r="AF20" i="2"/>
  <c r="AF34" i="2"/>
  <c r="AF40" i="2"/>
  <c r="AF49" i="2"/>
  <c r="AF53" i="2"/>
  <c r="AF37" i="2"/>
  <c r="AF18" i="2"/>
  <c r="AF6" i="2"/>
  <c r="AF12" i="2"/>
  <c r="AF22" i="2"/>
  <c r="AF33" i="2"/>
  <c r="AF44" i="2"/>
  <c r="AF46" i="2"/>
  <c r="AF10" i="2"/>
  <c r="AF19" i="2"/>
  <c r="AF28" i="2"/>
  <c r="AF35" i="2"/>
  <c r="AF39" i="2"/>
  <c r="AF45" i="2"/>
  <c r="AF8" i="2"/>
  <c r="AF14" i="2"/>
  <c r="AF31" i="2"/>
  <c r="AF43" i="2"/>
  <c r="AF41" i="2"/>
  <c r="AF24" i="2"/>
  <c r="AF13" i="2"/>
  <c r="R52" i="2"/>
  <c r="Y26" i="2"/>
  <c r="Y36" i="2"/>
  <c r="Y31" i="2"/>
  <c r="Y21" i="2"/>
  <c r="Y38" i="2"/>
  <c r="Y11" i="2"/>
  <c r="Y46" i="2"/>
  <c r="R11" i="2"/>
  <c r="R43" i="2"/>
  <c r="R46" i="2"/>
  <c r="K16" i="2"/>
  <c r="K47" i="2"/>
  <c r="K29" i="2"/>
  <c r="R19" i="2"/>
  <c r="R45" i="2"/>
  <c r="R29" i="2"/>
  <c r="K8" i="2"/>
  <c r="K31" i="2"/>
  <c r="K41" i="2"/>
  <c r="Y8" i="2"/>
  <c r="Y12" i="2"/>
  <c r="Y37" i="2"/>
  <c r="Y56" i="2"/>
  <c r="Y52" i="2"/>
  <c r="Y45" i="2"/>
  <c r="Y29" i="2"/>
  <c r="K11" i="2"/>
  <c r="K43" i="2"/>
  <c r="K46" i="2"/>
  <c r="R25" i="2"/>
  <c r="R41" i="2"/>
  <c r="R37" i="2"/>
  <c r="R56" i="2"/>
  <c r="R15" i="2"/>
  <c r="R18" i="2"/>
  <c r="R49" i="2"/>
  <c r="Y43" i="2"/>
  <c r="R26" i="2"/>
  <c r="R36" i="2"/>
  <c r="K15" i="2"/>
  <c r="K18" i="2"/>
  <c r="R47" i="2"/>
  <c r="Y19" i="2"/>
  <c r="Y25" i="2"/>
  <c r="Y41" i="2"/>
  <c r="K26" i="2"/>
  <c r="K36" i="2"/>
  <c r="K19" i="2"/>
  <c r="K25" i="2"/>
  <c r="R16" i="2"/>
  <c r="R8" i="2"/>
  <c r="R31" i="2"/>
  <c r="R21" i="2"/>
  <c r="Y15" i="2"/>
  <c r="Y18" i="2"/>
  <c r="Y49" i="2"/>
  <c r="Y16" i="2"/>
  <c r="Y47" i="2"/>
  <c r="K21" i="2"/>
  <c r="K12" i="2"/>
  <c r="K37" i="2"/>
  <c r="K56" i="2"/>
  <c r="K38" i="2"/>
  <c r="K52" i="2"/>
  <c r="K45" i="2"/>
  <c r="R12" i="2"/>
  <c r="K49" i="2"/>
  <c r="AG52" i="2" l="1"/>
  <c r="AG29" i="2"/>
  <c r="AG18" i="2"/>
  <c r="AG11" i="2"/>
  <c r="AG15" i="2"/>
  <c r="AG19" i="2"/>
  <c r="AG37" i="2"/>
  <c r="AG31" i="2"/>
  <c r="AG47" i="2"/>
  <c r="AG25" i="2"/>
  <c r="AG46" i="2"/>
  <c r="AG36" i="2"/>
  <c r="AG56" i="2"/>
  <c r="AG26" i="2"/>
  <c r="AG45" i="2"/>
  <c r="AG21" i="2"/>
  <c r="AG41" i="2"/>
  <c r="AG8" i="2"/>
  <c r="AG43" i="2"/>
  <c r="AG49" i="2"/>
  <c r="AG38" i="2"/>
  <c r="AG12" i="2"/>
  <c r="AG16" i="2"/>
  <c r="AF57" i="2"/>
  <c r="X27" i="2" l="1"/>
  <c r="V27" i="2"/>
  <c r="Q27" i="2"/>
  <c r="X14" i="2"/>
  <c r="V14" i="2"/>
  <c r="Q14" i="2"/>
  <c r="X39" i="2"/>
  <c r="V39" i="2"/>
  <c r="Q39" i="2"/>
  <c r="X17" i="2"/>
  <c r="V17" i="2"/>
  <c r="Q17" i="2"/>
  <c r="X9" i="2"/>
  <c r="V9" i="2"/>
  <c r="Q9" i="2"/>
  <c r="X32" i="2"/>
  <c r="V32" i="2"/>
  <c r="Q32" i="2"/>
  <c r="X7" i="2"/>
  <c r="V7" i="2"/>
  <c r="Q7" i="2"/>
  <c r="X53" i="2"/>
  <c r="V53" i="2"/>
  <c r="Q53" i="2"/>
  <c r="O48" i="2"/>
  <c r="O27" i="2"/>
  <c r="O14" i="2"/>
  <c r="O39" i="2"/>
  <c r="O17" i="2"/>
  <c r="O9" i="2"/>
  <c r="O32" i="2"/>
  <c r="O7" i="2"/>
  <c r="O53" i="2"/>
  <c r="R17" i="2" l="1"/>
  <c r="R32" i="2"/>
  <c r="Y14" i="2"/>
  <c r="Y9" i="2"/>
  <c r="Y17" i="2"/>
  <c r="AG17" i="2" s="1"/>
  <c r="R9" i="2"/>
  <c r="Y32" i="2"/>
  <c r="Y39" i="2"/>
  <c r="AG39" i="2" s="1"/>
  <c r="R7" i="2"/>
  <c r="R39" i="2"/>
  <c r="Y27" i="2"/>
  <c r="Y7" i="2"/>
  <c r="R14" i="2"/>
  <c r="R53" i="2"/>
  <c r="Y53" i="2"/>
  <c r="AG53" i="2" s="1"/>
  <c r="R27" i="2"/>
  <c r="W57" i="2"/>
  <c r="T57" i="2"/>
  <c r="P57" i="2"/>
  <c r="M57" i="2"/>
  <c r="N57" i="2" s="1"/>
  <c r="I57" i="2"/>
  <c r="G57" i="2"/>
  <c r="J48" i="2"/>
  <c r="H48" i="2"/>
  <c r="J27" i="2"/>
  <c r="H27" i="2"/>
  <c r="J14" i="2"/>
  <c r="H14" i="2"/>
  <c r="J39" i="2"/>
  <c r="H39" i="2"/>
  <c r="J17" i="2"/>
  <c r="H17" i="2"/>
  <c r="J9" i="2"/>
  <c r="H9" i="2"/>
  <c r="J32" i="2"/>
  <c r="H32" i="2"/>
  <c r="J7" i="2"/>
  <c r="H7" i="2"/>
  <c r="J53" i="2"/>
  <c r="H53" i="2"/>
  <c r="X30" i="2"/>
  <c r="V30" i="2"/>
  <c r="Q30" i="2"/>
  <c r="O30" i="2"/>
  <c r="J30" i="2"/>
  <c r="H30" i="2"/>
  <c r="X40" i="2"/>
  <c r="V40" i="2"/>
  <c r="Q40" i="2"/>
  <c r="O40" i="2"/>
  <c r="J40" i="2"/>
  <c r="H40" i="2"/>
  <c r="X34" i="2"/>
  <c r="V34" i="2"/>
  <c r="Q34" i="2"/>
  <c r="O34" i="2"/>
  <c r="J34" i="2"/>
  <c r="H34" i="2"/>
  <c r="X22" i="2"/>
  <c r="V22" i="2"/>
  <c r="Q22" i="2"/>
  <c r="O22" i="2"/>
  <c r="J22" i="2"/>
  <c r="H22" i="2"/>
  <c r="X13" i="2"/>
  <c r="V13" i="2"/>
  <c r="Q13" i="2"/>
  <c r="O13" i="2"/>
  <c r="J13" i="2"/>
  <c r="H13" i="2"/>
  <c r="X24" i="2"/>
  <c r="V24" i="2"/>
  <c r="Q24" i="2"/>
  <c r="O24" i="2"/>
  <c r="J24" i="2"/>
  <c r="H24" i="2"/>
  <c r="X33" i="2"/>
  <c r="V33" i="2"/>
  <c r="Q33" i="2"/>
  <c r="O33" i="2"/>
  <c r="J33" i="2"/>
  <c r="H33" i="2"/>
  <c r="X44" i="2"/>
  <c r="V44" i="2"/>
  <c r="Q44" i="2"/>
  <c r="O44" i="2"/>
  <c r="J44" i="2"/>
  <c r="H44" i="2"/>
  <c r="X35" i="2"/>
  <c r="V35" i="2"/>
  <c r="Q35" i="2"/>
  <c r="O35" i="2"/>
  <c r="J35" i="2"/>
  <c r="H35" i="2"/>
  <c r="X48" i="2"/>
  <c r="V48" i="2"/>
  <c r="Q48" i="2"/>
  <c r="X42" i="2"/>
  <c r="V42" i="2"/>
  <c r="Q42" i="2"/>
  <c r="O42" i="2"/>
  <c r="X20" i="2"/>
  <c r="V20" i="2"/>
  <c r="Q20" i="2"/>
  <c r="O20" i="2"/>
  <c r="X6" i="2"/>
  <c r="V6" i="2"/>
  <c r="Q6" i="2"/>
  <c r="O6" i="2"/>
  <c r="X23" i="2"/>
  <c r="V23" i="2"/>
  <c r="Q23" i="2"/>
  <c r="O23" i="2"/>
  <c r="J42" i="2"/>
  <c r="H42" i="2"/>
  <c r="J20" i="2"/>
  <c r="H20" i="2"/>
  <c r="J6" i="2"/>
  <c r="H6" i="2"/>
  <c r="J23" i="2"/>
  <c r="H23" i="2"/>
  <c r="X28" i="2"/>
  <c r="X10" i="2"/>
  <c r="V28" i="2"/>
  <c r="V10" i="2"/>
  <c r="Q28" i="2"/>
  <c r="Q10" i="2"/>
  <c r="O28" i="2"/>
  <c r="O10" i="2"/>
  <c r="J28" i="2"/>
  <c r="H28" i="2"/>
  <c r="J10" i="2"/>
  <c r="H10" i="2"/>
  <c r="AG32" i="2" l="1"/>
  <c r="AG7" i="2"/>
  <c r="AG9" i="2"/>
  <c r="AG27" i="2"/>
  <c r="AG14" i="2"/>
  <c r="Q57" i="2"/>
  <c r="H57" i="2"/>
  <c r="O57" i="2"/>
  <c r="K23" i="2"/>
  <c r="V57" i="2"/>
  <c r="X57" i="2"/>
  <c r="J57" i="2"/>
  <c r="K44" i="2"/>
  <c r="K22" i="2"/>
  <c r="K28" i="2"/>
  <c r="K39" i="2"/>
  <c r="K6" i="2"/>
  <c r="K13" i="2"/>
  <c r="K48" i="2"/>
  <c r="K7" i="2"/>
  <c r="K17" i="2"/>
  <c r="K53" i="2"/>
  <c r="K42" i="2"/>
  <c r="K24" i="2"/>
  <c r="K40" i="2"/>
  <c r="K32" i="2"/>
  <c r="K14" i="2"/>
  <c r="Y35" i="2"/>
  <c r="K33" i="2"/>
  <c r="K34" i="2"/>
  <c r="K9" i="2"/>
  <c r="K27" i="2"/>
  <c r="K20" i="2"/>
  <c r="K35" i="2"/>
  <c r="K30" i="2"/>
  <c r="Y34" i="2"/>
  <c r="Y33" i="2"/>
  <c r="Y23" i="2"/>
  <c r="R44" i="2"/>
  <c r="Y42" i="2"/>
  <c r="R40" i="2"/>
  <c r="Y30" i="2"/>
  <c r="R22" i="2"/>
  <c r="R24" i="2"/>
  <c r="Y13" i="2"/>
  <c r="R48" i="2"/>
  <c r="R35" i="2"/>
  <c r="Y44" i="2"/>
  <c r="AG44" i="2" s="1"/>
  <c r="R13" i="2"/>
  <c r="Y22" i="2"/>
  <c r="R30" i="2"/>
  <c r="R33" i="2"/>
  <c r="Y24" i="2"/>
  <c r="R34" i="2"/>
  <c r="Y40" i="2"/>
  <c r="R6" i="2"/>
  <c r="R42" i="2"/>
  <c r="R23" i="2"/>
  <c r="Y20" i="2"/>
  <c r="Y48" i="2"/>
  <c r="R20" i="2"/>
  <c r="Y6" i="2"/>
  <c r="Y28" i="2"/>
  <c r="Y10" i="2"/>
  <c r="R28" i="2"/>
  <c r="R10" i="2"/>
  <c r="K10" i="2"/>
  <c r="AG48" i="2" l="1"/>
  <c r="AG20" i="2"/>
  <c r="AG22" i="2"/>
  <c r="AG30" i="2"/>
  <c r="AG42" i="2"/>
  <c r="AG28" i="2"/>
  <c r="AG10" i="2"/>
  <c r="AG40" i="2"/>
  <c r="AG23" i="2"/>
  <c r="AG24" i="2"/>
  <c r="AG13" i="2"/>
  <c r="AG33" i="2"/>
  <c r="AG35" i="2"/>
  <c r="AG34" i="2"/>
  <c r="AG6" i="2"/>
  <c r="R57" i="2"/>
  <c r="Y57" i="2"/>
  <c r="K57" i="2"/>
  <c r="AG5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Z297493826</author>
  </authors>
  <commentList>
    <comment ref="A1" authorId="0" shapeId="0" xr:uid="{85454386-6B8C-4206-8A14-E699DD197138}">
      <text>
        <r>
          <rPr>
            <b/>
            <sz val="8"/>
            <color indexed="81"/>
            <rFont val="Tahoma"/>
            <family val="2"/>
          </rPr>
          <t>Digite sem pontos(".") Ele se auto formata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" authorId="0" shapeId="0" xr:uid="{CBB62FFC-FF3C-463B-9297-93D4A8CB0313}">
      <text>
        <r>
          <rPr>
            <b/>
            <sz val="8"/>
            <color indexed="81"/>
            <rFont val="Tahoma"/>
            <family val="2"/>
          </rPr>
          <t>Digite o Nome do Premiado
(sem acentos, nem ç)</t>
        </r>
        <r>
          <rPr>
            <sz val="8"/>
            <color indexed="81"/>
            <rFont val="Tahoma"/>
            <family val="2"/>
          </rPr>
          <t xml:space="preserve">
o mais completo possivel</t>
        </r>
      </text>
    </comment>
  </commentList>
</comments>
</file>

<file path=xl/sharedStrings.xml><?xml version="1.0" encoding="utf-8"?>
<sst xmlns="http://schemas.openxmlformats.org/spreadsheetml/2006/main" count="1416" uniqueCount="154">
  <si>
    <t xml:space="preserve">CNPJ </t>
  </si>
  <si>
    <t>Razão</t>
  </si>
  <si>
    <t>Nome do premiado</t>
  </si>
  <si>
    <t>Loja</t>
  </si>
  <si>
    <t>Marca</t>
  </si>
  <si>
    <t>Cargo</t>
  </si>
  <si>
    <t>05.026.792/0008-63</t>
  </si>
  <si>
    <t>CMJ - COMERCIO DE VEICULOS LTDA.</t>
  </si>
  <si>
    <t xml:space="preserve">Luana Dias dos Santos </t>
  </si>
  <si>
    <t>Nações Unidadas</t>
  </si>
  <si>
    <t>Fiat</t>
  </si>
  <si>
    <t>Consultor</t>
  </si>
  <si>
    <t>Amanda De Oliveira Tabosa</t>
  </si>
  <si>
    <t>05.026.792/0022-11</t>
  </si>
  <si>
    <t>CMJ - COMERCIO DE VEICULOS LTDA</t>
  </si>
  <si>
    <t>Cintia Cristiane Coelho</t>
  </si>
  <si>
    <t>Osasco</t>
  </si>
  <si>
    <t xml:space="preserve">Adriano Amorim Dos Santos </t>
  </si>
  <si>
    <t>Gerente</t>
  </si>
  <si>
    <t>Alex Fabiano Cardoso de Sousa</t>
  </si>
  <si>
    <t>05.026.792/0013-20</t>
  </si>
  <si>
    <t>Izalto Ferreira Guimarães Junior</t>
  </si>
  <si>
    <t>Sumaré</t>
  </si>
  <si>
    <t>Jeep</t>
  </si>
  <si>
    <t>Débora Quézia Amaro Toth</t>
  </si>
  <si>
    <t>Raphaella Ariane Rodrigues Dos Santos</t>
  </si>
  <si>
    <t>Ismael gomes de sousa</t>
  </si>
  <si>
    <t>Bianca Sthefanie Hui</t>
  </si>
  <si>
    <t> 05.026.792/0022-11</t>
  </si>
  <si>
    <t xml:space="preserve">Edmar Pereira dos Anjos </t>
  </si>
  <si>
    <t>Adrielle Santana Sena</t>
  </si>
  <si>
    <t>Fabio Oliveira</t>
  </si>
  <si>
    <t xml:space="preserve">Arthur Rodrigo de Souza </t>
  </si>
  <si>
    <t>05.026.792/0012-40</t>
  </si>
  <si>
    <t>Fernando Vaz  Dos  Santos</t>
  </si>
  <si>
    <t>Ceasa</t>
  </si>
  <si>
    <t>Ivan Oliveira dos Santos</t>
  </si>
  <si>
    <t>Ana  Beatriz Rodrigues da Conceição</t>
  </si>
  <si>
    <t>Waldyr Bertolacini Junior</t>
  </si>
  <si>
    <t>Thays Faustino Ramos</t>
  </si>
  <si>
    <t>05.026.792/0001-97</t>
  </si>
  <si>
    <t>Lyncoln Gabriel Dos Santos Monaco</t>
  </si>
  <si>
    <t xml:space="preserve">Janaína Fernandes Vieira de Almeida </t>
  </si>
  <si>
    <t xml:space="preserve">Luiz Felipe Andreatta Azevedo </t>
  </si>
  <si>
    <t>Gabriel Isamu Kojima de Abreu</t>
  </si>
  <si>
    <t>Felipe Martins Dominguez</t>
  </si>
  <si>
    <t>07.950.180/0003-83</t>
  </si>
  <si>
    <t>SUPER CDMD COMERCIO DE VEICULOS AUTOMOTORES LTDA</t>
  </si>
  <si>
    <t>Patrick Wallace dos Santos Plácido</t>
  </si>
  <si>
    <t>Nissan</t>
  </si>
  <si>
    <t>Luana de Almeida Lima</t>
  </si>
  <si>
    <t>Alexandre Pinheiro santos</t>
  </si>
  <si>
    <t>Camila Gomes dos Santos</t>
  </si>
  <si>
    <t> 05.026.792/0003-59</t>
  </si>
  <si>
    <t xml:space="preserve">Camila Souza Silva </t>
  </si>
  <si>
    <t>Aricanduva</t>
  </si>
  <si>
    <t>Joelmir Alex de Oliveira</t>
  </si>
  <si>
    <t>José Elias da C. Silva</t>
  </si>
  <si>
    <t>05.026.792/0017-54</t>
  </si>
  <si>
    <t>Rodolfo Miguel Rodrigues</t>
  </si>
  <si>
    <t>Guarulhos</t>
  </si>
  <si>
    <t>Pamela Souza de Amorim</t>
  </si>
  <si>
    <t>Henrique Ferreira de Moraes</t>
  </si>
  <si>
    <t>07.950.180/0011-93</t>
  </si>
  <si>
    <t>Rafael Alves de Sa</t>
  </si>
  <si>
    <t>Braz Leme</t>
  </si>
  <si>
    <t>07.023.175/0001-63</t>
  </si>
  <si>
    <t>CMD AUTOMOVEIS LTDA</t>
  </si>
  <si>
    <t xml:space="preserve">Carlos Roberto Oka </t>
  </si>
  <si>
    <t>Honda</t>
  </si>
  <si>
    <t xml:space="preserve">Andre Luiz De Carvalho Teixeira </t>
  </si>
  <si>
    <t xml:space="preserve">Sidney Moretti Junior </t>
  </si>
  <si>
    <t xml:space="preserve">Taylane Souza Lopes </t>
  </si>
  <si>
    <t>Roberta Oliveira Rios da Silva</t>
  </si>
  <si>
    <t>Arnaldo de oliveira Fonseca</t>
  </si>
  <si>
    <t xml:space="preserve">Aline Pereira Cardoso </t>
  </si>
  <si>
    <t>Paula Anaia Viana</t>
  </si>
  <si>
    <t>Keily Soraia Paes landim de Sousa</t>
  </si>
  <si>
    <t>05.026.792/0015-92</t>
  </si>
  <si>
    <t xml:space="preserve">Larissa Trivelato Suguimoto </t>
  </si>
  <si>
    <t>Diego Roberto Horvath</t>
  </si>
  <si>
    <t>Matheus Fernandes Augusto Lopes</t>
  </si>
  <si>
    <t>Matheus da Silva Moraes</t>
  </si>
  <si>
    <t>Maiara Candido Cavalheiro</t>
  </si>
  <si>
    <t xml:space="preserve">Vanessa braga gobetti Motta </t>
  </si>
  <si>
    <t>05.026.792/0021-30</t>
  </si>
  <si>
    <t xml:space="preserve">Erasmo Rodrigues da Costa </t>
  </si>
  <si>
    <t>Vila Guilherme</t>
  </si>
  <si>
    <t>Maria Aparecida Gonçalves Pereira</t>
  </si>
  <si>
    <t xml:space="preserve">Daniel Cruz Marques </t>
  </si>
  <si>
    <t>Dayara Kathleen Fernandes Almeida</t>
  </si>
  <si>
    <t>Priscila Inez Bezerra</t>
  </si>
  <si>
    <t> 05.026.792/0019-16</t>
  </si>
  <si>
    <t>Carlos Eduardo Mendes</t>
  </si>
  <si>
    <t>W. Luiz</t>
  </si>
  <si>
    <t>Rafael José Torres Papa</t>
  </si>
  <si>
    <t>Tais Farias Dutra Dias</t>
  </si>
  <si>
    <t>Lucas Leonardo Pereira da Conceição</t>
  </si>
  <si>
    <t>Eunides Maria da Silva</t>
  </si>
  <si>
    <t>Refil Diant.</t>
  </si>
  <si>
    <t>Refl Tras.</t>
  </si>
  <si>
    <t>Nome Consultor</t>
  </si>
  <si>
    <t>Refil Diant</t>
  </si>
  <si>
    <t>Total Diant.</t>
  </si>
  <si>
    <t>Total Tras.</t>
  </si>
  <si>
    <t>Total Geral</t>
  </si>
  <si>
    <t>Fev</t>
  </si>
  <si>
    <t>Mar</t>
  </si>
  <si>
    <t>Abr</t>
  </si>
  <si>
    <t>Dianteiro</t>
  </si>
  <si>
    <t>Traseiro</t>
  </si>
  <si>
    <t xml:space="preserve">Matheus Fernandes </t>
  </si>
  <si>
    <t>Matheus Moraes</t>
  </si>
  <si>
    <t>Total Trimestre</t>
  </si>
  <si>
    <t>Rafael José Torres</t>
  </si>
  <si>
    <t>Tais Farias</t>
  </si>
  <si>
    <t>Mai</t>
  </si>
  <si>
    <t>Iviny</t>
  </si>
  <si>
    <t>Vanessa</t>
  </si>
  <si>
    <t>Gabriel</t>
  </si>
  <si>
    <t>Arnaldo - Venda Direto</t>
  </si>
  <si>
    <t>RANKING VENDAS REFIS PARA PALHETAS - TRIMESTRE MAR-ABR-MAI 2026</t>
  </si>
  <si>
    <t>Passagens</t>
  </si>
  <si>
    <t>Aproveitamento</t>
  </si>
  <si>
    <t>Mês (data)</t>
  </si>
  <si>
    <t>Mês</t>
  </si>
  <si>
    <t>Refil Diant. (qtd)</t>
  </si>
  <si>
    <t>Refil Tras. (qtd)</t>
  </si>
  <si>
    <t>Total Diant. (R$)</t>
  </si>
  <si>
    <t>Total Tras. (R$)</t>
  </si>
  <si>
    <t>Total Geral (R$)</t>
  </si>
  <si>
    <t>Preço Diant. (R$)</t>
  </si>
  <si>
    <t>Preço Tras. (R$)</t>
  </si>
  <si>
    <t>Edmar Pereira dos Anjos</t>
  </si>
  <si>
    <t>Mai/2026</t>
  </si>
  <si>
    <t>Vanessa braga gobetti Motta</t>
  </si>
  <si>
    <t>Camila Souza Silva</t>
  </si>
  <si>
    <t>Sidney Moretti Junior</t>
  </si>
  <si>
    <t>Daniel Cruz Marques</t>
  </si>
  <si>
    <t>Taylane Souza Lopes</t>
  </si>
  <si>
    <t>Carlos Roberto Oka</t>
  </si>
  <si>
    <t>Luiz Felipe Andreatta Azevedo</t>
  </si>
  <si>
    <t>Luana Dias dos Santos</t>
  </si>
  <si>
    <t>Fernando Vaz Dos Santos</t>
  </si>
  <si>
    <t>Ana Beatriz Rodrigues da Conceição</t>
  </si>
  <si>
    <t>Andre Luiz De Carvalho Teixeira</t>
  </si>
  <si>
    <t>Janaína Fernandes Vieira de Almeida</t>
  </si>
  <si>
    <t>Abr/2026</t>
  </si>
  <si>
    <t>Mar/2026</t>
  </si>
  <si>
    <t>Fev/2026</t>
  </si>
  <si>
    <t>Vanessa da Silova Fragoso Moreira</t>
  </si>
  <si>
    <t>Iviny Rossini</t>
  </si>
  <si>
    <t>Gabriel de Oliveira</t>
  </si>
  <si>
    <t>Matheus Fernandes Augusto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</si>
</sst>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mmm/yyyy"/>
    <numFmt numFmtId="167" formatCode="\R\$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color rgb="FF272727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F4F6F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1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49" fontId="6" fillId="0" borderId="1" xfId="2" applyNumberFormat="1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left" vertical="center"/>
    </xf>
    <xf numFmtId="49" fontId="6" fillId="0" borderId="1" xfId="2" applyNumberFormat="1" applyFont="1" applyBorder="1" applyAlignment="1">
      <alignment horizontal="left" vertical="center" wrapText="1"/>
    </xf>
    <xf numFmtId="0" fontId="6" fillId="0" borderId="1" xfId="2" applyFont="1" applyBorder="1" applyAlignment="1">
      <alignment vertical="center"/>
    </xf>
    <xf numFmtId="0" fontId="6" fillId="0" borderId="0" xfId="2" applyFont="1"/>
    <xf numFmtId="0" fontId="7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horizontal="left" vertical="center"/>
    </xf>
    <xf numFmtId="49" fontId="9" fillId="0" borderId="1" xfId="2" applyNumberFormat="1" applyFont="1" applyBorder="1" applyAlignment="1">
      <alignment horizontal="left" vertical="center"/>
    </xf>
    <xf numFmtId="49" fontId="9" fillId="0" borderId="1" xfId="3" applyNumberFormat="1" applyFont="1" applyBorder="1" applyAlignment="1">
      <alignment horizontal="left" vertical="center"/>
    </xf>
    <xf numFmtId="49" fontId="9" fillId="0" borderId="1" xfId="2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1" xfId="2" applyFont="1" applyBorder="1" applyAlignment="1">
      <alignment vertical="center"/>
    </xf>
    <xf numFmtId="0" fontId="9" fillId="0" borderId="0" xfId="2" applyFont="1"/>
    <xf numFmtId="0" fontId="7" fillId="0" borderId="1" xfId="0" applyFont="1" applyBorder="1"/>
    <xf numFmtId="49" fontId="9" fillId="0" borderId="1" xfId="2" applyNumberFormat="1" applyFont="1" applyBorder="1" applyAlignment="1">
      <alignment horizontal="left"/>
    </xf>
    <xf numFmtId="0" fontId="9" fillId="0" borderId="1" xfId="2" applyFont="1" applyBorder="1"/>
    <xf numFmtId="0" fontId="9" fillId="0" borderId="0" xfId="2" applyFont="1" applyAlignment="1">
      <alignment vertical="center"/>
    </xf>
    <xf numFmtId="49" fontId="9" fillId="0" borderId="0" xfId="2" applyNumberFormat="1" applyFont="1" applyAlignment="1">
      <alignment horizontal="center"/>
    </xf>
    <xf numFmtId="49" fontId="9" fillId="0" borderId="0" xfId="2" applyNumberFormat="1" applyFont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44" fontId="4" fillId="2" borderId="0" xfId="1" applyFont="1" applyFill="1" applyBorder="1"/>
    <xf numFmtId="44" fontId="4" fillId="2" borderId="2" xfId="1" applyFont="1" applyFill="1" applyBorder="1"/>
    <xf numFmtId="44" fontId="0" fillId="0" borderId="1" xfId="1" applyFont="1" applyBorder="1" applyAlignment="1">
      <alignment horizontal="center"/>
    </xf>
    <xf numFmtId="44" fontId="4" fillId="2" borderId="0" xfId="1" applyFont="1" applyFill="1"/>
    <xf numFmtId="49" fontId="13" fillId="0" borderId="1" xfId="3" applyNumberFormat="1" applyFont="1" applyBorder="1" applyAlignment="1">
      <alignment horizontal="left" vertical="center"/>
    </xf>
    <xf numFmtId="0" fontId="13" fillId="0" borderId="1" xfId="2" applyFont="1" applyBorder="1" applyAlignment="1">
      <alignment vertical="center"/>
    </xf>
    <xf numFmtId="49" fontId="13" fillId="0" borderId="1" xfId="2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13" fillId="0" borderId="1" xfId="3" applyFont="1" applyBorder="1" applyAlignment="1">
      <alignment horizontal="left" vertical="center"/>
    </xf>
    <xf numFmtId="44" fontId="0" fillId="0" borderId="0" xfId="1" applyFont="1"/>
    <xf numFmtId="0" fontId="13" fillId="0" borderId="1" xfId="3" applyFont="1" applyBorder="1" applyAlignment="1">
      <alignment vertical="center"/>
    </xf>
    <xf numFmtId="0" fontId="0" fillId="0" borderId="3" xfId="0" applyBorder="1" applyAlignment="1">
      <alignment horizontal="center"/>
    </xf>
    <xf numFmtId="0" fontId="0" fillId="2" borderId="0" xfId="0" applyFill="1"/>
    <xf numFmtId="44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Fill="1" applyBorder="1"/>
    <xf numFmtId="44" fontId="2" fillId="2" borderId="0" xfId="0" applyNumberFormat="1" applyFont="1" applyFill="1"/>
    <xf numFmtId="44" fontId="14" fillId="2" borderId="1" xfId="1" applyFont="1" applyFill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4" fontId="15" fillId="0" borderId="1" xfId="1" applyFont="1" applyBorder="1" applyAlignment="1">
      <alignment horizontal="center"/>
    </xf>
    <xf numFmtId="0" fontId="15" fillId="0" borderId="0" xfId="0" applyFont="1"/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3" borderId="1" xfId="1" applyFont="1" applyFill="1" applyBorder="1"/>
    <xf numFmtId="0" fontId="15" fillId="3" borderId="1" xfId="0" applyFont="1" applyFill="1" applyBorder="1" applyAlignment="1">
      <alignment horizontal="center"/>
    </xf>
    <xf numFmtId="44" fontId="15" fillId="3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44" fontId="0" fillId="4" borderId="1" xfId="1" applyFont="1" applyFill="1" applyBorder="1"/>
    <xf numFmtId="0" fontId="15" fillId="4" borderId="1" xfId="0" applyFont="1" applyFill="1" applyBorder="1" applyAlignment="1">
      <alignment horizontal="center"/>
    </xf>
    <xf numFmtId="44" fontId="15" fillId="4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44" fontId="0" fillId="5" borderId="1" xfId="1" applyFont="1" applyFill="1" applyBorder="1"/>
    <xf numFmtId="44" fontId="15" fillId="5" borderId="1" xfId="1" applyFont="1" applyFill="1" applyBorder="1" applyAlignment="1">
      <alignment horizontal="center"/>
    </xf>
    <xf numFmtId="44" fontId="16" fillId="5" borderId="1" xfId="1" applyFont="1" applyFill="1" applyBorder="1" applyAlignment="1">
      <alignment horizontal="center"/>
    </xf>
    <xf numFmtId="164" fontId="16" fillId="5" borderId="1" xfId="4" applyNumberFormat="1" applyFont="1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65" fontId="0" fillId="3" borderId="1" xfId="5" applyNumberFormat="1" applyFont="1" applyFill="1" applyBorder="1" applyAlignment="1">
      <alignment horizontal="center"/>
    </xf>
    <xf numFmtId="9" fontId="15" fillId="3" borderId="1" xfId="5" applyFont="1" applyFill="1" applyBorder="1" applyAlignment="1">
      <alignment horizontal="center"/>
    </xf>
    <xf numFmtId="165" fontId="0" fillId="4" borderId="1" xfId="5" applyNumberFormat="1" applyFont="1" applyFill="1" applyBorder="1" applyAlignment="1">
      <alignment horizontal="center"/>
    </xf>
    <xf numFmtId="0" fontId="16" fillId="5" borderId="1" xfId="4" applyNumberFormat="1" applyFont="1" applyFill="1" applyBorder="1" applyAlignment="1">
      <alignment horizontal="center"/>
    </xf>
    <xf numFmtId="165" fontId="0" fillId="5" borderId="1" xfId="5" applyNumberFormat="1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 vertical="center" wrapText="1"/>
    </xf>
    <xf numFmtId="0" fontId="18" fillId="7" borderId="4" xfId="0" applyFont="1" applyFill="1" applyBorder="1"/>
    <xf numFmtId="166" fontId="18" fillId="7" borderId="4" xfId="0" applyNumberFormat="1" applyFont="1" applyFill="1" applyBorder="1" applyAlignment="1">
      <alignment horizontal="center"/>
    </xf>
    <xf numFmtId="3" fontId="18" fillId="7" borderId="4" xfId="0" applyNumberFormat="1" applyFont="1" applyFill="1" applyBorder="1" applyAlignment="1">
      <alignment horizontal="center"/>
    </xf>
    <xf numFmtId="165" fontId="18" fillId="7" borderId="4" xfId="0" applyNumberFormat="1" applyFont="1" applyFill="1" applyBorder="1" applyAlignment="1">
      <alignment horizontal="center"/>
    </xf>
    <xf numFmtId="167" fontId="18" fillId="7" borderId="4" xfId="0" applyNumberFormat="1" applyFont="1" applyFill="1" applyBorder="1"/>
    <xf numFmtId="0" fontId="18" fillId="0" borderId="4" xfId="0" applyFont="1" applyBorder="1"/>
    <xf numFmtId="166" fontId="18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165" fontId="18" fillId="0" borderId="4" xfId="0" applyNumberFormat="1" applyFont="1" applyBorder="1" applyAlignment="1">
      <alignment horizontal="center"/>
    </xf>
    <xf numFmtId="167" fontId="18" fillId="0" borderId="4" xfId="0" applyNumberFormat="1" applyFont="1" applyBorder="1"/>
    <xf numFmtId="0" fontId="4" fillId="2" borderId="0" xfId="0" applyFont="1" applyFill="1" applyAlignment="1">
      <alignment horizontal="center"/>
    </xf>
  </cellXfs>
  <cellStyles count="6">
    <cellStyle name="0,0_x000d__x000a_NA_x000d__x000a_" xfId="2" xr:uid="{36E8F2E2-056F-4621-87B6-CD5D0577F8D9}"/>
    <cellStyle name="0,0_x000d__x000a_NA_x000d__x000a_ 3" xfId="3" xr:uid="{A581D37A-62F0-470A-83BD-CBF5533774D8}"/>
    <cellStyle name="Comma" xfId="4" builtinId="3"/>
    <cellStyle name="Currency" xfId="1" builtinId="4"/>
    <cellStyle name="Normal" xfId="0" builtinId="0"/>
    <cellStyle name="Percent" xfId="5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DC41-C1AF-4446-86C8-3A6D61D48C15}">
  <sheetPr filterMode="1"/>
  <dimension ref="A1:F62"/>
  <sheetViews>
    <sheetView workbookViewId="0">
      <selection activeCell="B65" sqref="B65"/>
    </sheetView>
  </sheetViews>
  <sheetFormatPr defaultColWidth="9.33203125" defaultRowHeight="13.8" x14ac:dyDescent="0.25"/>
  <cols>
    <col min="1" max="1" width="20.109375" style="18" bestFit="1" customWidth="1"/>
    <col min="2" max="2" width="63.109375" style="18" bestFit="1" customWidth="1"/>
    <col min="3" max="3" width="26.6640625" style="19" customWidth="1"/>
    <col min="4" max="4" width="17.109375" style="13" customWidth="1"/>
    <col min="5" max="5" width="9.33203125" style="13" bestFit="1"/>
    <col min="6" max="6" width="9.6640625" style="13" bestFit="1" customWidth="1"/>
    <col min="7" max="246" width="9.33203125" style="13"/>
    <col min="247" max="247" width="20.109375" style="13" bestFit="1" customWidth="1"/>
    <col min="248" max="248" width="41.6640625" style="13" customWidth="1"/>
    <col min="249" max="249" width="26.6640625" style="13" customWidth="1"/>
    <col min="250" max="250" width="14.109375" style="13" customWidth="1"/>
    <col min="251" max="251" width="10.44140625" style="13" customWidth="1"/>
    <col min="252" max="252" width="13.6640625" style="13" customWidth="1"/>
    <col min="253" max="253" width="11.6640625" style="13" customWidth="1"/>
    <col min="254" max="254" width="14.5546875" style="13" customWidth="1"/>
    <col min="255" max="255" width="11.6640625" style="13" customWidth="1"/>
    <col min="256" max="256" width="10.33203125" style="13" customWidth="1"/>
    <col min="257" max="257" width="19.33203125" style="13" customWidth="1"/>
    <col min="258" max="258" width="13.6640625" style="13" customWidth="1"/>
    <col min="259" max="259" width="14.33203125" style="13" customWidth="1"/>
    <col min="260" max="260" width="17.109375" style="13" customWidth="1"/>
    <col min="261" max="261" width="9.33203125" style="13" bestFit="1"/>
    <col min="262" max="262" width="9.6640625" style="13" bestFit="1" customWidth="1"/>
    <col min="263" max="502" width="9.33203125" style="13"/>
    <col min="503" max="503" width="20.109375" style="13" bestFit="1" customWidth="1"/>
    <col min="504" max="504" width="41.6640625" style="13" customWidth="1"/>
    <col min="505" max="505" width="26.6640625" style="13" customWidth="1"/>
    <col min="506" max="506" width="14.109375" style="13" customWidth="1"/>
    <col min="507" max="507" width="10.44140625" style="13" customWidth="1"/>
    <col min="508" max="508" width="13.6640625" style="13" customWidth="1"/>
    <col min="509" max="509" width="11.6640625" style="13" customWidth="1"/>
    <col min="510" max="510" width="14.5546875" style="13" customWidth="1"/>
    <col min="511" max="511" width="11.6640625" style="13" customWidth="1"/>
    <col min="512" max="512" width="10.33203125" style="13" customWidth="1"/>
    <col min="513" max="513" width="19.33203125" style="13" customWidth="1"/>
    <col min="514" max="514" width="13.6640625" style="13" customWidth="1"/>
    <col min="515" max="515" width="14.33203125" style="13" customWidth="1"/>
    <col min="516" max="516" width="17.109375" style="13" customWidth="1"/>
    <col min="517" max="517" width="9.33203125" style="13" bestFit="1"/>
    <col min="518" max="518" width="9.6640625" style="13" bestFit="1" customWidth="1"/>
    <col min="519" max="758" width="9.33203125" style="13"/>
    <col min="759" max="759" width="20.109375" style="13" bestFit="1" customWidth="1"/>
    <col min="760" max="760" width="41.6640625" style="13" customWidth="1"/>
    <col min="761" max="761" width="26.6640625" style="13" customWidth="1"/>
    <col min="762" max="762" width="14.109375" style="13" customWidth="1"/>
    <col min="763" max="763" width="10.44140625" style="13" customWidth="1"/>
    <col min="764" max="764" width="13.6640625" style="13" customWidth="1"/>
    <col min="765" max="765" width="11.6640625" style="13" customWidth="1"/>
    <col min="766" max="766" width="14.5546875" style="13" customWidth="1"/>
    <col min="767" max="767" width="11.6640625" style="13" customWidth="1"/>
    <col min="768" max="768" width="10.33203125" style="13" customWidth="1"/>
    <col min="769" max="769" width="19.33203125" style="13" customWidth="1"/>
    <col min="770" max="770" width="13.6640625" style="13" customWidth="1"/>
    <col min="771" max="771" width="14.33203125" style="13" customWidth="1"/>
    <col min="772" max="772" width="17.109375" style="13" customWidth="1"/>
    <col min="773" max="773" width="9.33203125" style="13" bestFit="1"/>
    <col min="774" max="774" width="9.6640625" style="13" bestFit="1" customWidth="1"/>
    <col min="775" max="1014" width="9.33203125" style="13"/>
    <col min="1015" max="1015" width="20.109375" style="13" bestFit="1" customWidth="1"/>
    <col min="1016" max="1016" width="41.6640625" style="13" customWidth="1"/>
    <col min="1017" max="1017" width="26.6640625" style="13" customWidth="1"/>
    <col min="1018" max="1018" width="14.109375" style="13" customWidth="1"/>
    <col min="1019" max="1019" width="10.44140625" style="13" customWidth="1"/>
    <col min="1020" max="1020" width="13.6640625" style="13" customWidth="1"/>
    <col min="1021" max="1021" width="11.6640625" style="13" customWidth="1"/>
    <col min="1022" max="1022" width="14.5546875" style="13" customWidth="1"/>
    <col min="1023" max="1023" width="11.6640625" style="13" customWidth="1"/>
    <col min="1024" max="1024" width="10.33203125" style="13" customWidth="1"/>
    <col min="1025" max="1025" width="19.33203125" style="13" customWidth="1"/>
    <col min="1026" max="1026" width="13.6640625" style="13" customWidth="1"/>
    <col min="1027" max="1027" width="14.33203125" style="13" customWidth="1"/>
    <col min="1028" max="1028" width="17.109375" style="13" customWidth="1"/>
    <col min="1029" max="1029" width="9.33203125" style="13" bestFit="1"/>
    <col min="1030" max="1030" width="9.6640625" style="13" bestFit="1" customWidth="1"/>
    <col min="1031" max="1270" width="9.33203125" style="13"/>
    <col min="1271" max="1271" width="20.109375" style="13" bestFit="1" customWidth="1"/>
    <col min="1272" max="1272" width="41.6640625" style="13" customWidth="1"/>
    <col min="1273" max="1273" width="26.6640625" style="13" customWidth="1"/>
    <col min="1274" max="1274" width="14.109375" style="13" customWidth="1"/>
    <col min="1275" max="1275" width="10.44140625" style="13" customWidth="1"/>
    <col min="1276" max="1276" width="13.6640625" style="13" customWidth="1"/>
    <col min="1277" max="1277" width="11.6640625" style="13" customWidth="1"/>
    <col min="1278" max="1278" width="14.5546875" style="13" customWidth="1"/>
    <col min="1279" max="1279" width="11.6640625" style="13" customWidth="1"/>
    <col min="1280" max="1280" width="10.33203125" style="13" customWidth="1"/>
    <col min="1281" max="1281" width="19.33203125" style="13" customWidth="1"/>
    <col min="1282" max="1282" width="13.6640625" style="13" customWidth="1"/>
    <col min="1283" max="1283" width="14.33203125" style="13" customWidth="1"/>
    <col min="1284" max="1284" width="17.109375" style="13" customWidth="1"/>
    <col min="1285" max="1285" width="9.33203125" style="13" bestFit="1"/>
    <col min="1286" max="1286" width="9.6640625" style="13" bestFit="1" customWidth="1"/>
    <col min="1287" max="1526" width="9.33203125" style="13"/>
    <col min="1527" max="1527" width="20.109375" style="13" bestFit="1" customWidth="1"/>
    <col min="1528" max="1528" width="41.6640625" style="13" customWidth="1"/>
    <col min="1529" max="1529" width="26.6640625" style="13" customWidth="1"/>
    <col min="1530" max="1530" width="14.109375" style="13" customWidth="1"/>
    <col min="1531" max="1531" width="10.44140625" style="13" customWidth="1"/>
    <col min="1532" max="1532" width="13.6640625" style="13" customWidth="1"/>
    <col min="1533" max="1533" width="11.6640625" style="13" customWidth="1"/>
    <col min="1534" max="1534" width="14.5546875" style="13" customWidth="1"/>
    <col min="1535" max="1535" width="11.6640625" style="13" customWidth="1"/>
    <col min="1536" max="1536" width="10.33203125" style="13" customWidth="1"/>
    <col min="1537" max="1537" width="19.33203125" style="13" customWidth="1"/>
    <col min="1538" max="1538" width="13.6640625" style="13" customWidth="1"/>
    <col min="1539" max="1539" width="14.33203125" style="13" customWidth="1"/>
    <col min="1540" max="1540" width="17.109375" style="13" customWidth="1"/>
    <col min="1541" max="1541" width="9.33203125" style="13" bestFit="1"/>
    <col min="1542" max="1542" width="9.6640625" style="13" bestFit="1" customWidth="1"/>
    <col min="1543" max="1782" width="9.33203125" style="13"/>
    <col min="1783" max="1783" width="20.109375" style="13" bestFit="1" customWidth="1"/>
    <col min="1784" max="1784" width="41.6640625" style="13" customWidth="1"/>
    <col min="1785" max="1785" width="26.6640625" style="13" customWidth="1"/>
    <col min="1786" max="1786" width="14.109375" style="13" customWidth="1"/>
    <col min="1787" max="1787" width="10.44140625" style="13" customWidth="1"/>
    <col min="1788" max="1788" width="13.6640625" style="13" customWidth="1"/>
    <col min="1789" max="1789" width="11.6640625" style="13" customWidth="1"/>
    <col min="1790" max="1790" width="14.5546875" style="13" customWidth="1"/>
    <col min="1791" max="1791" width="11.6640625" style="13" customWidth="1"/>
    <col min="1792" max="1792" width="10.33203125" style="13" customWidth="1"/>
    <col min="1793" max="1793" width="19.33203125" style="13" customWidth="1"/>
    <col min="1794" max="1794" width="13.6640625" style="13" customWidth="1"/>
    <col min="1795" max="1795" width="14.33203125" style="13" customWidth="1"/>
    <col min="1796" max="1796" width="17.109375" style="13" customWidth="1"/>
    <col min="1797" max="1797" width="9.33203125" style="13" bestFit="1"/>
    <col min="1798" max="1798" width="9.6640625" style="13" bestFit="1" customWidth="1"/>
    <col min="1799" max="2038" width="9.33203125" style="13"/>
    <col min="2039" max="2039" width="20.109375" style="13" bestFit="1" customWidth="1"/>
    <col min="2040" max="2040" width="41.6640625" style="13" customWidth="1"/>
    <col min="2041" max="2041" width="26.6640625" style="13" customWidth="1"/>
    <col min="2042" max="2042" width="14.109375" style="13" customWidth="1"/>
    <col min="2043" max="2043" width="10.44140625" style="13" customWidth="1"/>
    <col min="2044" max="2044" width="13.6640625" style="13" customWidth="1"/>
    <col min="2045" max="2045" width="11.6640625" style="13" customWidth="1"/>
    <col min="2046" max="2046" width="14.5546875" style="13" customWidth="1"/>
    <col min="2047" max="2047" width="11.6640625" style="13" customWidth="1"/>
    <col min="2048" max="2048" width="10.33203125" style="13" customWidth="1"/>
    <col min="2049" max="2049" width="19.33203125" style="13" customWidth="1"/>
    <col min="2050" max="2050" width="13.6640625" style="13" customWidth="1"/>
    <col min="2051" max="2051" width="14.33203125" style="13" customWidth="1"/>
    <col min="2052" max="2052" width="17.109375" style="13" customWidth="1"/>
    <col min="2053" max="2053" width="9.33203125" style="13" bestFit="1"/>
    <col min="2054" max="2054" width="9.6640625" style="13" bestFit="1" customWidth="1"/>
    <col min="2055" max="2294" width="9.33203125" style="13"/>
    <col min="2295" max="2295" width="20.109375" style="13" bestFit="1" customWidth="1"/>
    <col min="2296" max="2296" width="41.6640625" style="13" customWidth="1"/>
    <col min="2297" max="2297" width="26.6640625" style="13" customWidth="1"/>
    <col min="2298" max="2298" width="14.109375" style="13" customWidth="1"/>
    <col min="2299" max="2299" width="10.44140625" style="13" customWidth="1"/>
    <col min="2300" max="2300" width="13.6640625" style="13" customWidth="1"/>
    <col min="2301" max="2301" width="11.6640625" style="13" customWidth="1"/>
    <col min="2302" max="2302" width="14.5546875" style="13" customWidth="1"/>
    <col min="2303" max="2303" width="11.6640625" style="13" customWidth="1"/>
    <col min="2304" max="2304" width="10.33203125" style="13" customWidth="1"/>
    <col min="2305" max="2305" width="19.33203125" style="13" customWidth="1"/>
    <col min="2306" max="2306" width="13.6640625" style="13" customWidth="1"/>
    <col min="2307" max="2307" width="14.33203125" style="13" customWidth="1"/>
    <col min="2308" max="2308" width="17.109375" style="13" customWidth="1"/>
    <col min="2309" max="2309" width="9.33203125" style="13" bestFit="1"/>
    <col min="2310" max="2310" width="9.6640625" style="13" bestFit="1" customWidth="1"/>
    <col min="2311" max="2550" width="9.33203125" style="13"/>
    <col min="2551" max="2551" width="20.109375" style="13" bestFit="1" customWidth="1"/>
    <col min="2552" max="2552" width="41.6640625" style="13" customWidth="1"/>
    <col min="2553" max="2553" width="26.6640625" style="13" customWidth="1"/>
    <col min="2554" max="2554" width="14.109375" style="13" customWidth="1"/>
    <col min="2555" max="2555" width="10.44140625" style="13" customWidth="1"/>
    <col min="2556" max="2556" width="13.6640625" style="13" customWidth="1"/>
    <col min="2557" max="2557" width="11.6640625" style="13" customWidth="1"/>
    <col min="2558" max="2558" width="14.5546875" style="13" customWidth="1"/>
    <col min="2559" max="2559" width="11.6640625" style="13" customWidth="1"/>
    <col min="2560" max="2560" width="10.33203125" style="13" customWidth="1"/>
    <col min="2561" max="2561" width="19.33203125" style="13" customWidth="1"/>
    <col min="2562" max="2562" width="13.6640625" style="13" customWidth="1"/>
    <col min="2563" max="2563" width="14.33203125" style="13" customWidth="1"/>
    <col min="2564" max="2564" width="17.109375" style="13" customWidth="1"/>
    <col min="2565" max="2565" width="9.33203125" style="13" bestFit="1"/>
    <col min="2566" max="2566" width="9.6640625" style="13" bestFit="1" customWidth="1"/>
    <col min="2567" max="2806" width="9.33203125" style="13"/>
    <col min="2807" max="2807" width="20.109375" style="13" bestFit="1" customWidth="1"/>
    <col min="2808" max="2808" width="41.6640625" style="13" customWidth="1"/>
    <col min="2809" max="2809" width="26.6640625" style="13" customWidth="1"/>
    <col min="2810" max="2810" width="14.109375" style="13" customWidth="1"/>
    <col min="2811" max="2811" width="10.44140625" style="13" customWidth="1"/>
    <col min="2812" max="2812" width="13.6640625" style="13" customWidth="1"/>
    <col min="2813" max="2813" width="11.6640625" style="13" customWidth="1"/>
    <col min="2814" max="2814" width="14.5546875" style="13" customWidth="1"/>
    <col min="2815" max="2815" width="11.6640625" style="13" customWidth="1"/>
    <col min="2816" max="2816" width="10.33203125" style="13" customWidth="1"/>
    <col min="2817" max="2817" width="19.33203125" style="13" customWidth="1"/>
    <col min="2818" max="2818" width="13.6640625" style="13" customWidth="1"/>
    <col min="2819" max="2819" width="14.33203125" style="13" customWidth="1"/>
    <col min="2820" max="2820" width="17.109375" style="13" customWidth="1"/>
    <col min="2821" max="2821" width="9.33203125" style="13" bestFit="1"/>
    <col min="2822" max="2822" width="9.6640625" style="13" bestFit="1" customWidth="1"/>
    <col min="2823" max="3062" width="9.33203125" style="13"/>
    <col min="3063" max="3063" width="20.109375" style="13" bestFit="1" customWidth="1"/>
    <col min="3064" max="3064" width="41.6640625" style="13" customWidth="1"/>
    <col min="3065" max="3065" width="26.6640625" style="13" customWidth="1"/>
    <col min="3066" max="3066" width="14.109375" style="13" customWidth="1"/>
    <col min="3067" max="3067" width="10.44140625" style="13" customWidth="1"/>
    <col min="3068" max="3068" width="13.6640625" style="13" customWidth="1"/>
    <col min="3069" max="3069" width="11.6640625" style="13" customWidth="1"/>
    <col min="3070" max="3070" width="14.5546875" style="13" customWidth="1"/>
    <col min="3071" max="3071" width="11.6640625" style="13" customWidth="1"/>
    <col min="3072" max="3072" width="10.33203125" style="13" customWidth="1"/>
    <col min="3073" max="3073" width="19.33203125" style="13" customWidth="1"/>
    <col min="3074" max="3074" width="13.6640625" style="13" customWidth="1"/>
    <col min="3075" max="3075" width="14.33203125" style="13" customWidth="1"/>
    <col min="3076" max="3076" width="17.109375" style="13" customWidth="1"/>
    <col min="3077" max="3077" width="9.33203125" style="13" bestFit="1"/>
    <col min="3078" max="3078" width="9.6640625" style="13" bestFit="1" customWidth="1"/>
    <col min="3079" max="3318" width="9.33203125" style="13"/>
    <col min="3319" max="3319" width="20.109375" style="13" bestFit="1" customWidth="1"/>
    <col min="3320" max="3320" width="41.6640625" style="13" customWidth="1"/>
    <col min="3321" max="3321" width="26.6640625" style="13" customWidth="1"/>
    <col min="3322" max="3322" width="14.109375" style="13" customWidth="1"/>
    <col min="3323" max="3323" width="10.44140625" style="13" customWidth="1"/>
    <col min="3324" max="3324" width="13.6640625" style="13" customWidth="1"/>
    <col min="3325" max="3325" width="11.6640625" style="13" customWidth="1"/>
    <col min="3326" max="3326" width="14.5546875" style="13" customWidth="1"/>
    <col min="3327" max="3327" width="11.6640625" style="13" customWidth="1"/>
    <col min="3328" max="3328" width="10.33203125" style="13" customWidth="1"/>
    <col min="3329" max="3329" width="19.33203125" style="13" customWidth="1"/>
    <col min="3330" max="3330" width="13.6640625" style="13" customWidth="1"/>
    <col min="3331" max="3331" width="14.33203125" style="13" customWidth="1"/>
    <col min="3332" max="3332" width="17.109375" style="13" customWidth="1"/>
    <col min="3333" max="3333" width="9.33203125" style="13" bestFit="1"/>
    <col min="3334" max="3334" width="9.6640625" style="13" bestFit="1" customWidth="1"/>
    <col min="3335" max="3574" width="9.33203125" style="13"/>
    <col min="3575" max="3575" width="20.109375" style="13" bestFit="1" customWidth="1"/>
    <col min="3576" max="3576" width="41.6640625" style="13" customWidth="1"/>
    <col min="3577" max="3577" width="26.6640625" style="13" customWidth="1"/>
    <col min="3578" max="3578" width="14.109375" style="13" customWidth="1"/>
    <col min="3579" max="3579" width="10.44140625" style="13" customWidth="1"/>
    <col min="3580" max="3580" width="13.6640625" style="13" customWidth="1"/>
    <col min="3581" max="3581" width="11.6640625" style="13" customWidth="1"/>
    <col min="3582" max="3582" width="14.5546875" style="13" customWidth="1"/>
    <col min="3583" max="3583" width="11.6640625" style="13" customWidth="1"/>
    <col min="3584" max="3584" width="10.33203125" style="13" customWidth="1"/>
    <col min="3585" max="3585" width="19.33203125" style="13" customWidth="1"/>
    <col min="3586" max="3586" width="13.6640625" style="13" customWidth="1"/>
    <col min="3587" max="3587" width="14.33203125" style="13" customWidth="1"/>
    <col min="3588" max="3588" width="17.109375" style="13" customWidth="1"/>
    <col min="3589" max="3589" width="9.33203125" style="13" bestFit="1"/>
    <col min="3590" max="3590" width="9.6640625" style="13" bestFit="1" customWidth="1"/>
    <col min="3591" max="3830" width="9.33203125" style="13"/>
    <col min="3831" max="3831" width="20.109375" style="13" bestFit="1" customWidth="1"/>
    <col min="3832" max="3832" width="41.6640625" style="13" customWidth="1"/>
    <col min="3833" max="3833" width="26.6640625" style="13" customWidth="1"/>
    <col min="3834" max="3834" width="14.109375" style="13" customWidth="1"/>
    <col min="3835" max="3835" width="10.44140625" style="13" customWidth="1"/>
    <col min="3836" max="3836" width="13.6640625" style="13" customWidth="1"/>
    <col min="3837" max="3837" width="11.6640625" style="13" customWidth="1"/>
    <col min="3838" max="3838" width="14.5546875" style="13" customWidth="1"/>
    <col min="3839" max="3839" width="11.6640625" style="13" customWidth="1"/>
    <col min="3840" max="3840" width="10.33203125" style="13" customWidth="1"/>
    <col min="3841" max="3841" width="19.33203125" style="13" customWidth="1"/>
    <col min="3842" max="3842" width="13.6640625" style="13" customWidth="1"/>
    <col min="3843" max="3843" width="14.33203125" style="13" customWidth="1"/>
    <col min="3844" max="3844" width="17.109375" style="13" customWidth="1"/>
    <col min="3845" max="3845" width="9.33203125" style="13" bestFit="1"/>
    <col min="3846" max="3846" width="9.6640625" style="13" bestFit="1" customWidth="1"/>
    <col min="3847" max="4086" width="9.33203125" style="13"/>
    <col min="4087" max="4087" width="20.109375" style="13" bestFit="1" customWidth="1"/>
    <col min="4088" max="4088" width="41.6640625" style="13" customWidth="1"/>
    <col min="4089" max="4089" width="26.6640625" style="13" customWidth="1"/>
    <col min="4090" max="4090" width="14.109375" style="13" customWidth="1"/>
    <col min="4091" max="4091" width="10.44140625" style="13" customWidth="1"/>
    <col min="4092" max="4092" width="13.6640625" style="13" customWidth="1"/>
    <col min="4093" max="4093" width="11.6640625" style="13" customWidth="1"/>
    <col min="4094" max="4094" width="14.5546875" style="13" customWidth="1"/>
    <col min="4095" max="4095" width="11.6640625" style="13" customWidth="1"/>
    <col min="4096" max="4096" width="10.33203125" style="13" customWidth="1"/>
    <col min="4097" max="4097" width="19.33203125" style="13" customWidth="1"/>
    <col min="4098" max="4098" width="13.6640625" style="13" customWidth="1"/>
    <col min="4099" max="4099" width="14.33203125" style="13" customWidth="1"/>
    <col min="4100" max="4100" width="17.109375" style="13" customWidth="1"/>
    <col min="4101" max="4101" width="9.33203125" style="13" bestFit="1"/>
    <col min="4102" max="4102" width="9.6640625" style="13" bestFit="1" customWidth="1"/>
    <col min="4103" max="4342" width="9.33203125" style="13"/>
    <col min="4343" max="4343" width="20.109375" style="13" bestFit="1" customWidth="1"/>
    <col min="4344" max="4344" width="41.6640625" style="13" customWidth="1"/>
    <col min="4345" max="4345" width="26.6640625" style="13" customWidth="1"/>
    <col min="4346" max="4346" width="14.109375" style="13" customWidth="1"/>
    <col min="4347" max="4347" width="10.44140625" style="13" customWidth="1"/>
    <col min="4348" max="4348" width="13.6640625" style="13" customWidth="1"/>
    <col min="4349" max="4349" width="11.6640625" style="13" customWidth="1"/>
    <col min="4350" max="4350" width="14.5546875" style="13" customWidth="1"/>
    <col min="4351" max="4351" width="11.6640625" style="13" customWidth="1"/>
    <col min="4352" max="4352" width="10.33203125" style="13" customWidth="1"/>
    <col min="4353" max="4353" width="19.33203125" style="13" customWidth="1"/>
    <col min="4354" max="4354" width="13.6640625" style="13" customWidth="1"/>
    <col min="4355" max="4355" width="14.33203125" style="13" customWidth="1"/>
    <col min="4356" max="4356" width="17.109375" style="13" customWidth="1"/>
    <col min="4357" max="4357" width="9.33203125" style="13" bestFit="1"/>
    <col min="4358" max="4358" width="9.6640625" style="13" bestFit="1" customWidth="1"/>
    <col min="4359" max="4598" width="9.33203125" style="13"/>
    <col min="4599" max="4599" width="20.109375" style="13" bestFit="1" customWidth="1"/>
    <col min="4600" max="4600" width="41.6640625" style="13" customWidth="1"/>
    <col min="4601" max="4601" width="26.6640625" style="13" customWidth="1"/>
    <col min="4602" max="4602" width="14.109375" style="13" customWidth="1"/>
    <col min="4603" max="4603" width="10.44140625" style="13" customWidth="1"/>
    <col min="4604" max="4604" width="13.6640625" style="13" customWidth="1"/>
    <col min="4605" max="4605" width="11.6640625" style="13" customWidth="1"/>
    <col min="4606" max="4606" width="14.5546875" style="13" customWidth="1"/>
    <col min="4607" max="4607" width="11.6640625" style="13" customWidth="1"/>
    <col min="4608" max="4608" width="10.33203125" style="13" customWidth="1"/>
    <col min="4609" max="4609" width="19.33203125" style="13" customWidth="1"/>
    <col min="4610" max="4610" width="13.6640625" style="13" customWidth="1"/>
    <col min="4611" max="4611" width="14.33203125" style="13" customWidth="1"/>
    <col min="4612" max="4612" width="17.109375" style="13" customWidth="1"/>
    <col min="4613" max="4613" width="9.33203125" style="13" bestFit="1"/>
    <col min="4614" max="4614" width="9.6640625" style="13" bestFit="1" customWidth="1"/>
    <col min="4615" max="4854" width="9.33203125" style="13"/>
    <col min="4855" max="4855" width="20.109375" style="13" bestFit="1" customWidth="1"/>
    <col min="4856" max="4856" width="41.6640625" style="13" customWidth="1"/>
    <col min="4857" max="4857" width="26.6640625" style="13" customWidth="1"/>
    <col min="4858" max="4858" width="14.109375" style="13" customWidth="1"/>
    <col min="4859" max="4859" width="10.44140625" style="13" customWidth="1"/>
    <col min="4860" max="4860" width="13.6640625" style="13" customWidth="1"/>
    <col min="4861" max="4861" width="11.6640625" style="13" customWidth="1"/>
    <col min="4862" max="4862" width="14.5546875" style="13" customWidth="1"/>
    <col min="4863" max="4863" width="11.6640625" style="13" customWidth="1"/>
    <col min="4864" max="4864" width="10.33203125" style="13" customWidth="1"/>
    <col min="4865" max="4865" width="19.33203125" style="13" customWidth="1"/>
    <col min="4866" max="4866" width="13.6640625" style="13" customWidth="1"/>
    <col min="4867" max="4867" width="14.33203125" style="13" customWidth="1"/>
    <col min="4868" max="4868" width="17.109375" style="13" customWidth="1"/>
    <col min="4869" max="4869" width="9.33203125" style="13" bestFit="1"/>
    <col min="4870" max="4870" width="9.6640625" style="13" bestFit="1" customWidth="1"/>
    <col min="4871" max="5110" width="9.33203125" style="13"/>
    <col min="5111" max="5111" width="20.109375" style="13" bestFit="1" customWidth="1"/>
    <col min="5112" max="5112" width="41.6640625" style="13" customWidth="1"/>
    <col min="5113" max="5113" width="26.6640625" style="13" customWidth="1"/>
    <col min="5114" max="5114" width="14.109375" style="13" customWidth="1"/>
    <col min="5115" max="5115" width="10.44140625" style="13" customWidth="1"/>
    <col min="5116" max="5116" width="13.6640625" style="13" customWidth="1"/>
    <col min="5117" max="5117" width="11.6640625" style="13" customWidth="1"/>
    <col min="5118" max="5118" width="14.5546875" style="13" customWidth="1"/>
    <col min="5119" max="5119" width="11.6640625" style="13" customWidth="1"/>
    <col min="5120" max="5120" width="10.33203125" style="13" customWidth="1"/>
    <col min="5121" max="5121" width="19.33203125" style="13" customWidth="1"/>
    <col min="5122" max="5122" width="13.6640625" style="13" customWidth="1"/>
    <col min="5123" max="5123" width="14.33203125" style="13" customWidth="1"/>
    <col min="5124" max="5124" width="17.109375" style="13" customWidth="1"/>
    <col min="5125" max="5125" width="9.33203125" style="13" bestFit="1"/>
    <col min="5126" max="5126" width="9.6640625" style="13" bestFit="1" customWidth="1"/>
    <col min="5127" max="5366" width="9.33203125" style="13"/>
    <col min="5367" max="5367" width="20.109375" style="13" bestFit="1" customWidth="1"/>
    <col min="5368" max="5368" width="41.6640625" style="13" customWidth="1"/>
    <col min="5369" max="5369" width="26.6640625" style="13" customWidth="1"/>
    <col min="5370" max="5370" width="14.109375" style="13" customWidth="1"/>
    <col min="5371" max="5371" width="10.44140625" style="13" customWidth="1"/>
    <col min="5372" max="5372" width="13.6640625" style="13" customWidth="1"/>
    <col min="5373" max="5373" width="11.6640625" style="13" customWidth="1"/>
    <col min="5374" max="5374" width="14.5546875" style="13" customWidth="1"/>
    <col min="5375" max="5375" width="11.6640625" style="13" customWidth="1"/>
    <col min="5376" max="5376" width="10.33203125" style="13" customWidth="1"/>
    <col min="5377" max="5377" width="19.33203125" style="13" customWidth="1"/>
    <col min="5378" max="5378" width="13.6640625" style="13" customWidth="1"/>
    <col min="5379" max="5379" width="14.33203125" style="13" customWidth="1"/>
    <col min="5380" max="5380" width="17.109375" style="13" customWidth="1"/>
    <col min="5381" max="5381" width="9.33203125" style="13" bestFit="1"/>
    <col min="5382" max="5382" width="9.6640625" style="13" bestFit="1" customWidth="1"/>
    <col min="5383" max="5622" width="9.33203125" style="13"/>
    <col min="5623" max="5623" width="20.109375" style="13" bestFit="1" customWidth="1"/>
    <col min="5624" max="5624" width="41.6640625" style="13" customWidth="1"/>
    <col min="5625" max="5625" width="26.6640625" style="13" customWidth="1"/>
    <col min="5626" max="5626" width="14.109375" style="13" customWidth="1"/>
    <col min="5627" max="5627" width="10.44140625" style="13" customWidth="1"/>
    <col min="5628" max="5628" width="13.6640625" style="13" customWidth="1"/>
    <col min="5629" max="5629" width="11.6640625" style="13" customWidth="1"/>
    <col min="5630" max="5630" width="14.5546875" style="13" customWidth="1"/>
    <col min="5631" max="5631" width="11.6640625" style="13" customWidth="1"/>
    <col min="5632" max="5632" width="10.33203125" style="13" customWidth="1"/>
    <col min="5633" max="5633" width="19.33203125" style="13" customWidth="1"/>
    <col min="5634" max="5634" width="13.6640625" style="13" customWidth="1"/>
    <col min="5635" max="5635" width="14.33203125" style="13" customWidth="1"/>
    <col min="5636" max="5636" width="17.109375" style="13" customWidth="1"/>
    <col min="5637" max="5637" width="9.33203125" style="13" bestFit="1"/>
    <col min="5638" max="5638" width="9.6640625" style="13" bestFit="1" customWidth="1"/>
    <col min="5639" max="5878" width="9.33203125" style="13"/>
    <col min="5879" max="5879" width="20.109375" style="13" bestFit="1" customWidth="1"/>
    <col min="5880" max="5880" width="41.6640625" style="13" customWidth="1"/>
    <col min="5881" max="5881" width="26.6640625" style="13" customWidth="1"/>
    <col min="5882" max="5882" width="14.109375" style="13" customWidth="1"/>
    <col min="5883" max="5883" width="10.44140625" style="13" customWidth="1"/>
    <col min="5884" max="5884" width="13.6640625" style="13" customWidth="1"/>
    <col min="5885" max="5885" width="11.6640625" style="13" customWidth="1"/>
    <col min="5886" max="5886" width="14.5546875" style="13" customWidth="1"/>
    <col min="5887" max="5887" width="11.6640625" style="13" customWidth="1"/>
    <col min="5888" max="5888" width="10.33203125" style="13" customWidth="1"/>
    <col min="5889" max="5889" width="19.33203125" style="13" customWidth="1"/>
    <col min="5890" max="5890" width="13.6640625" style="13" customWidth="1"/>
    <col min="5891" max="5891" width="14.33203125" style="13" customWidth="1"/>
    <col min="5892" max="5892" width="17.109375" style="13" customWidth="1"/>
    <col min="5893" max="5893" width="9.33203125" style="13" bestFit="1"/>
    <col min="5894" max="5894" width="9.6640625" style="13" bestFit="1" customWidth="1"/>
    <col min="5895" max="6134" width="9.33203125" style="13"/>
    <col min="6135" max="6135" width="20.109375" style="13" bestFit="1" customWidth="1"/>
    <col min="6136" max="6136" width="41.6640625" style="13" customWidth="1"/>
    <col min="6137" max="6137" width="26.6640625" style="13" customWidth="1"/>
    <col min="6138" max="6138" width="14.109375" style="13" customWidth="1"/>
    <col min="6139" max="6139" width="10.44140625" style="13" customWidth="1"/>
    <col min="6140" max="6140" width="13.6640625" style="13" customWidth="1"/>
    <col min="6141" max="6141" width="11.6640625" style="13" customWidth="1"/>
    <col min="6142" max="6142" width="14.5546875" style="13" customWidth="1"/>
    <col min="6143" max="6143" width="11.6640625" style="13" customWidth="1"/>
    <col min="6144" max="6144" width="10.33203125" style="13" customWidth="1"/>
    <col min="6145" max="6145" width="19.33203125" style="13" customWidth="1"/>
    <col min="6146" max="6146" width="13.6640625" style="13" customWidth="1"/>
    <col min="6147" max="6147" width="14.33203125" style="13" customWidth="1"/>
    <col min="6148" max="6148" width="17.109375" style="13" customWidth="1"/>
    <col min="6149" max="6149" width="9.33203125" style="13" bestFit="1"/>
    <col min="6150" max="6150" width="9.6640625" style="13" bestFit="1" customWidth="1"/>
    <col min="6151" max="6390" width="9.33203125" style="13"/>
    <col min="6391" max="6391" width="20.109375" style="13" bestFit="1" customWidth="1"/>
    <col min="6392" max="6392" width="41.6640625" style="13" customWidth="1"/>
    <col min="6393" max="6393" width="26.6640625" style="13" customWidth="1"/>
    <col min="6394" max="6394" width="14.109375" style="13" customWidth="1"/>
    <col min="6395" max="6395" width="10.44140625" style="13" customWidth="1"/>
    <col min="6396" max="6396" width="13.6640625" style="13" customWidth="1"/>
    <col min="6397" max="6397" width="11.6640625" style="13" customWidth="1"/>
    <col min="6398" max="6398" width="14.5546875" style="13" customWidth="1"/>
    <col min="6399" max="6399" width="11.6640625" style="13" customWidth="1"/>
    <col min="6400" max="6400" width="10.33203125" style="13" customWidth="1"/>
    <col min="6401" max="6401" width="19.33203125" style="13" customWidth="1"/>
    <col min="6402" max="6402" width="13.6640625" style="13" customWidth="1"/>
    <col min="6403" max="6403" width="14.33203125" style="13" customWidth="1"/>
    <col min="6404" max="6404" width="17.109375" style="13" customWidth="1"/>
    <col min="6405" max="6405" width="9.33203125" style="13" bestFit="1"/>
    <col min="6406" max="6406" width="9.6640625" style="13" bestFit="1" customWidth="1"/>
    <col min="6407" max="6646" width="9.33203125" style="13"/>
    <col min="6647" max="6647" width="20.109375" style="13" bestFit="1" customWidth="1"/>
    <col min="6648" max="6648" width="41.6640625" style="13" customWidth="1"/>
    <col min="6649" max="6649" width="26.6640625" style="13" customWidth="1"/>
    <col min="6650" max="6650" width="14.109375" style="13" customWidth="1"/>
    <col min="6651" max="6651" width="10.44140625" style="13" customWidth="1"/>
    <col min="6652" max="6652" width="13.6640625" style="13" customWidth="1"/>
    <col min="6653" max="6653" width="11.6640625" style="13" customWidth="1"/>
    <col min="6654" max="6654" width="14.5546875" style="13" customWidth="1"/>
    <col min="6655" max="6655" width="11.6640625" style="13" customWidth="1"/>
    <col min="6656" max="6656" width="10.33203125" style="13" customWidth="1"/>
    <col min="6657" max="6657" width="19.33203125" style="13" customWidth="1"/>
    <col min="6658" max="6658" width="13.6640625" style="13" customWidth="1"/>
    <col min="6659" max="6659" width="14.33203125" style="13" customWidth="1"/>
    <col min="6660" max="6660" width="17.109375" style="13" customWidth="1"/>
    <col min="6661" max="6661" width="9.33203125" style="13" bestFit="1"/>
    <col min="6662" max="6662" width="9.6640625" style="13" bestFit="1" customWidth="1"/>
    <col min="6663" max="6902" width="9.33203125" style="13"/>
    <col min="6903" max="6903" width="20.109375" style="13" bestFit="1" customWidth="1"/>
    <col min="6904" max="6904" width="41.6640625" style="13" customWidth="1"/>
    <col min="6905" max="6905" width="26.6640625" style="13" customWidth="1"/>
    <col min="6906" max="6906" width="14.109375" style="13" customWidth="1"/>
    <col min="6907" max="6907" width="10.44140625" style="13" customWidth="1"/>
    <col min="6908" max="6908" width="13.6640625" style="13" customWidth="1"/>
    <col min="6909" max="6909" width="11.6640625" style="13" customWidth="1"/>
    <col min="6910" max="6910" width="14.5546875" style="13" customWidth="1"/>
    <col min="6911" max="6911" width="11.6640625" style="13" customWidth="1"/>
    <col min="6912" max="6912" width="10.33203125" style="13" customWidth="1"/>
    <col min="6913" max="6913" width="19.33203125" style="13" customWidth="1"/>
    <col min="6914" max="6914" width="13.6640625" style="13" customWidth="1"/>
    <col min="6915" max="6915" width="14.33203125" style="13" customWidth="1"/>
    <col min="6916" max="6916" width="17.109375" style="13" customWidth="1"/>
    <col min="6917" max="6917" width="9.33203125" style="13" bestFit="1"/>
    <col min="6918" max="6918" width="9.6640625" style="13" bestFit="1" customWidth="1"/>
    <col min="6919" max="7158" width="9.33203125" style="13"/>
    <col min="7159" max="7159" width="20.109375" style="13" bestFit="1" customWidth="1"/>
    <col min="7160" max="7160" width="41.6640625" style="13" customWidth="1"/>
    <col min="7161" max="7161" width="26.6640625" style="13" customWidth="1"/>
    <col min="7162" max="7162" width="14.109375" style="13" customWidth="1"/>
    <col min="7163" max="7163" width="10.44140625" style="13" customWidth="1"/>
    <col min="7164" max="7164" width="13.6640625" style="13" customWidth="1"/>
    <col min="7165" max="7165" width="11.6640625" style="13" customWidth="1"/>
    <col min="7166" max="7166" width="14.5546875" style="13" customWidth="1"/>
    <col min="7167" max="7167" width="11.6640625" style="13" customWidth="1"/>
    <col min="7168" max="7168" width="10.33203125" style="13" customWidth="1"/>
    <col min="7169" max="7169" width="19.33203125" style="13" customWidth="1"/>
    <col min="7170" max="7170" width="13.6640625" style="13" customWidth="1"/>
    <col min="7171" max="7171" width="14.33203125" style="13" customWidth="1"/>
    <col min="7172" max="7172" width="17.109375" style="13" customWidth="1"/>
    <col min="7173" max="7173" width="9.33203125" style="13" bestFit="1"/>
    <col min="7174" max="7174" width="9.6640625" style="13" bestFit="1" customWidth="1"/>
    <col min="7175" max="7414" width="9.33203125" style="13"/>
    <col min="7415" max="7415" width="20.109375" style="13" bestFit="1" customWidth="1"/>
    <col min="7416" max="7416" width="41.6640625" style="13" customWidth="1"/>
    <col min="7417" max="7417" width="26.6640625" style="13" customWidth="1"/>
    <col min="7418" max="7418" width="14.109375" style="13" customWidth="1"/>
    <col min="7419" max="7419" width="10.44140625" style="13" customWidth="1"/>
    <col min="7420" max="7420" width="13.6640625" style="13" customWidth="1"/>
    <col min="7421" max="7421" width="11.6640625" style="13" customWidth="1"/>
    <col min="7422" max="7422" width="14.5546875" style="13" customWidth="1"/>
    <col min="7423" max="7423" width="11.6640625" style="13" customWidth="1"/>
    <col min="7424" max="7424" width="10.33203125" style="13" customWidth="1"/>
    <col min="7425" max="7425" width="19.33203125" style="13" customWidth="1"/>
    <col min="7426" max="7426" width="13.6640625" style="13" customWidth="1"/>
    <col min="7427" max="7427" width="14.33203125" style="13" customWidth="1"/>
    <col min="7428" max="7428" width="17.109375" style="13" customWidth="1"/>
    <col min="7429" max="7429" width="9.33203125" style="13" bestFit="1"/>
    <col min="7430" max="7430" width="9.6640625" style="13" bestFit="1" customWidth="1"/>
    <col min="7431" max="7670" width="9.33203125" style="13"/>
    <col min="7671" max="7671" width="20.109375" style="13" bestFit="1" customWidth="1"/>
    <col min="7672" max="7672" width="41.6640625" style="13" customWidth="1"/>
    <col min="7673" max="7673" width="26.6640625" style="13" customWidth="1"/>
    <col min="7674" max="7674" width="14.109375" style="13" customWidth="1"/>
    <col min="7675" max="7675" width="10.44140625" style="13" customWidth="1"/>
    <col min="7676" max="7676" width="13.6640625" style="13" customWidth="1"/>
    <col min="7677" max="7677" width="11.6640625" style="13" customWidth="1"/>
    <col min="7678" max="7678" width="14.5546875" style="13" customWidth="1"/>
    <col min="7679" max="7679" width="11.6640625" style="13" customWidth="1"/>
    <col min="7680" max="7680" width="10.33203125" style="13" customWidth="1"/>
    <col min="7681" max="7681" width="19.33203125" style="13" customWidth="1"/>
    <col min="7682" max="7682" width="13.6640625" style="13" customWidth="1"/>
    <col min="7683" max="7683" width="14.33203125" style="13" customWidth="1"/>
    <col min="7684" max="7684" width="17.109375" style="13" customWidth="1"/>
    <col min="7685" max="7685" width="9.33203125" style="13" bestFit="1"/>
    <col min="7686" max="7686" width="9.6640625" style="13" bestFit="1" customWidth="1"/>
    <col min="7687" max="7926" width="9.33203125" style="13"/>
    <col min="7927" max="7927" width="20.109375" style="13" bestFit="1" customWidth="1"/>
    <col min="7928" max="7928" width="41.6640625" style="13" customWidth="1"/>
    <col min="7929" max="7929" width="26.6640625" style="13" customWidth="1"/>
    <col min="7930" max="7930" width="14.109375" style="13" customWidth="1"/>
    <col min="7931" max="7931" width="10.44140625" style="13" customWidth="1"/>
    <col min="7932" max="7932" width="13.6640625" style="13" customWidth="1"/>
    <col min="7933" max="7933" width="11.6640625" style="13" customWidth="1"/>
    <col min="7934" max="7934" width="14.5546875" style="13" customWidth="1"/>
    <col min="7935" max="7935" width="11.6640625" style="13" customWidth="1"/>
    <col min="7936" max="7936" width="10.33203125" style="13" customWidth="1"/>
    <col min="7937" max="7937" width="19.33203125" style="13" customWidth="1"/>
    <col min="7938" max="7938" width="13.6640625" style="13" customWidth="1"/>
    <col min="7939" max="7939" width="14.33203125" style="13" customWidth="1"/>
    <col min="7940" max="7940" width="17.109375" style="13" customWidth="1"/>
    <col min="7941" max="7941" width="9.33203125" style="13" bestFit="1"/>
    <col min="7942" max="7942" width="9.6640625" style="13" bestFit="1" customWidth="1"/>
    <col min="7943" max="8182" width="9.33203125" style="13"/>
    <col min="8183" max="8183" width="20.109375" style="13" bestFit="1" customWidth="1"/>
    <col min="8184" max="8184" width="41.6640625" style="13" customWidth="1"/>
    <col min="8185" max="8185" width="26.6640625" style="13" customWidth="1"/>
    <col min="8186" max="8186" width="14.109375" style="13" customWidth="1"/>
    <col min="8187" max="8187" width="10.44140625" style="13" customWidth="1"/>
    <col min="8188" max="8188" width="13.6640625" style="13" customWidth="1"/>
    <col min="8189" max="8189" width="11.6640625" style="13" customWidth="1"/>
    <col min="8190" max="8190" width="14.5546875" style="13" customWidth="1"/>
    <col min="8191" max="8191" width="11.6640625" style="13" customWidth="1"/>
    <col min="8192" max="8192" width="10.33203125" style="13" customWidth="1"/>
    <col min="8193" max="8193" width="19.33203125" style="13" customWidth="1"/>
    <col min="8194" max="8194" width="13.6640625" style="13" customWidth="1"/>
    <col min="8195" max="8195" width="14.33203125" style="13" customWidth="1"/>
    <col min="8196" max="8196" width="17.109375" style="13" customWidth="1"/>
    <col min="8197" max="8197" width="9.33203125" style="13" bestFit="1"/>
    <col min="8198" max="8198" width="9.6640625" style="13" bestFit="1" customWidth="1"/>
    <col min="8199" max="8438" width="9.33203125" style="13"/>
    <col min="8439" max="8439" width="20.109375" style="13" bestFit="1" customWidth="1"/>
    <col min="8440" max="8440" width="41.6640625" style="13" customWidth="1"/>
    <col min="8441" max="8441" width="26.6640625" style="13" customWidth="1"/>
    <col min="8442" max="8442" width="14.109375" style="13" customWidth="1"/>
    <col min="8443" max="8443" width="10.44140625" style="13" customWidth="1"/>
    <col min="8444" max="8444" width="13.6640625" style="13" customWidth="1"/>
    <col min="8445" max="8445" width="11.6640625" style="13" customWidth="1"/>
    <col min="8446" max="8446" width="14.5546875" style="13" customWidth="1"/>
    <col min="8447" max="8447" width="11.6640625" style="13" customWidth="1"/>
    <col min="8448" max="8448" width="10.33203125" style="13" customWidth="1"/>
    <col min="8449" max="8449" width="19.33203125" style="13" customWidth="1"/>
    <col min="8450" max="8450" width="13.6640625" style="13" customWidth="1"/>
    <col min="8451" max="8451" width="14.33203125" style="13" customWidth="1"/>
    <col min="8452" max="8452" width="17.109375" style="13" customWidth="1"/>
    <col min="8453" max="8453" width="9.33203125" style="13" bestFit="1"/>
    <col min="8454" max="8454" width="9.6640625" style="13" bestFit="1" customWidth="1"/>
    <col min="8455" max="8694" width="9.33203125" style="13"/>
    <col min="8695" max="8695" width="20.109375" style="13" bestFit="1" customWidth="1"/>
    <col min="8696" max="8696" width="41.6640625" style="13" customWidth="1"/>
    <col min="8697" max="8697" width="26.6640625" style="13" customWidth="1"/>
    <col min="8698" max="8698" width="14.109375" style="13" customWidth="1"/>
    <col min="8699" max="8699" width="10.44140625" style="13" customWidth="1"/>
    <col min="8700" max="8700" width="13.6640625" style="13" customWidth="1"/>
    <col min="8701" max="8701" width="11.6640625" style="13" customWidth="1"/>
    <col min="8702" max="8702" width="14.5546875" style="13" customWidth="1"/>
    <col min="8703" max="8703" width="11.6640625" style="13" customWidth="1"/>
    <col min="8704" max="8704" width="10.33203125" style="13" customWidth="1"/>
    <col min="8705" max="8705" width="19.33203125" style="13" customWidth="1"/>
    <col min="8706" max="8706" width="13.6640625" style="13" customWidth="1"/>
    <col min="8707" max="8707" width="14.33203125" style="13" customWidth="1"/>
    <col min="8708" max="8708" width="17.109375" style="13" customWidth="1"/>
    <col min="8709" max="8709" width="9.33203125" style="13" bestFit="1"/>
    <col min="8710" max="8710" width="9.6640625" style="13" bestFit="1" customWidth="1"/>
    <col min="8711" max="8950" width="9.33203125" style="13"/>
    <col min="8951" max="8951" width="20.109375" style="13" bestFit="1" customWidth="1"/>
    <col min="8952" max="8952" width="41.6640625" style="13" customWidth="1"/>
    <col min="8953" max="8953" width="26.6640625" style="13" customWidth="1"/>
    <col min="8954" max="8954" width="14.109375" style="13" customWidth="1"/>
    <col min="8955" max="8955" width="10.44140625" style="13" customWidth="1"/>
    <col min="8956" max="8956" width="13.6640625" style="13" customWidth="1"/>
    <col min="8957" max="8957" width="11.6640625" style="13" customWidth="1"/>
    <col min="8958" max="8958" width="14.5546875" style="13" customWidth="1"/>
    <col min="8959" max="8959" width="11.6640625" style="13" customWidth="1"/>
    <col min="8960" max="8960" width="10.33203125" style="13" customWidth="1"/>
    <col min="8961" max="8961" width="19.33203125" style="13" customWidth="1"/>
    <col min="8962" max="8962" width="13.6640625" style="13" customWidth="1"/>
    <col min="8963" max="8963" width="14.33203125" style="13" customWidth="1"/>
    <col min="8964" max="8964" width="17.109375" style="13" customWidth="1"/>
    <col min="8965" max="8965" width="9.33203125" style="13" bestFit="1"/>
    <col min="8966" max="8966" width="9.6640625" style="13" bestFit="1" customWidth="1"/>
    <col min="8967" max="9206" width="9.33203125" style="13"/>
    <col min="9207" max="9207" width="20.109375" style="13" bestFit="1" customWidth="1"/>
    <col min="9208" max="9208" width="41.6640625" style="13" customWidth="1"/>
    <col min="9209" max="9209" width="26.6640625" style="13" customWidth="1"/>
    <col min="9210" max="9210" width="14.109375" style="13" customWidth="1"/>
    <col min="9211" max="9211" width="10.44140625" style="13" customWidth="1"/>
    <col min="9212" max="9212" width="13.6640625" style="13" customWidth="1"/>
    <col min="9213" max="9213" width="11.6640625" style="13" customWidth="1"/>
    <col min="9214" max="9214" width="14.5546875" style="13" customWidth="1"/>
    <col min="9215" max="9215" width="11.6640625" style="13" customWidth="1"/>
    <col min="9216" max="9216" width="10.33203125" style="13" customWidth="1"/>
    <col min="9217" max="9217" width="19.33203125" style="13" customWidth="1"/>
    <col min="9218" max="9218" width="13.6640625" style="13" customWidth="1"/>
    <col min="9219" max="9219" width="14.33203125" style="13" customWidth="1"/>
    <col min="9220" max="9220" width="17.109375" style="13" customWidth="1"/>
    <col min="9221" max="9221" width="9.33203125" style="13" bestFit="1"/>
    <col min="9222" max="9222" width="9.6640625" style="13" bestFit="1" customWidth="1"/>
    <col min="9223" max="9462" width="9.33203125" style="13"/>
    <col min="9463" max="9463" width="20.109375" style="13" bestFit="1" customWidth="1"/>
    <col min="9464" max="9464" width="41.6640625" style="13" customWidth="1"/>
    <col min="9465" max="9465" width="26.6640625" style="13" customWidth="1"/>
    <col min="9466" max="9466" width="14.109375" style="13" customWidth="1"/>
    <col min="9467" max="9467" width="10.44140625" style="13" customWidth="1"/>
    <col min="9468" max="9468" width="13.6640625" style="13" customWidth="1"/>
    <col min="9469" max="9469" width="11.6640625" style="13" customWidth="1"/>
    <col min="9470" max="9470" width="14.5546875" style="13" customWidth="1"/>
    <col min="9471" max="9471" width="11.6640625" style="13" customWidth="1"/>
    <col min="9472" max="9472" width="10.33203125" style="13" customWidth="1"/>
    <col min="9473" max="9473" width="19.33203125" style="13" customWidth="1"/>
    <col min="9474" max="9474" width="13.6640625" style="13" customWidth="1"/>
    <col min="9475" max="9475" width="14.33203125" style="13" customWidth="1"/>
    <col min="9476" max="9476" width="17.109375" style="13" customWidth="1"/>
    <col min="9477" max="9477" width="9.33203125" style="13" bestFit="1"/>
    <col min="9478" max="9478" width="9.6640625" style="13" bestFit="1" customWidth="1"/>
    <col min="9479" max="9718" width="9.33203125" style="13"/>
    <col min="9719" max="9719" width="20.109375" style="13" bestFit="1" customWidth="1"/>
    <col min="9720" max="9720" width="41.6640625" style="13" customWidth="1"/>
    <col min="9721" max="9721" width="26.6640625" style="13" customWidth="1"/>
    <col min="9722" max="9722" width="14.109375" style="13" customWidth="1"/>
    <col min="9723" max="9723" width="10.44140625" style="13" customWidth="1"/>
    <col min="9724" max="9724" width="13.6640625" style="13" customWidth="1"/>
    <col min="9725" max="9725" width="11.6640625" style="13" customWidth="1"/>
    <col min="9726" max="9726" width="14.5546875" style="13" customWidth="1"/>
    <col min="9727" max="9727" width="11.6640625" style="13" customWidth="1"/>
    <col min="9728" max="9728" width="10.33203125" style="13" customWidth="1"/>
    <col min="9729" max="9729" width="19.33203125" style="13" customWidth="1"/>
    <col min="9730" max="9730" width="13.6640625" style="13" customWidth="1"/>
    <col min="9731" max="9731" width="14.33203125" style="13" customWidth="1"/>
    <col min="9732" max="9732" width="17.109375" style="13" customWidth="1"/>
    <col min="9733" max="9733" width="9.33203125" style="13" bestFit="1"/>
    <col min="9734" max="9734" width="9.6640625" style="13" bestFit="1" customWidth="1"/>
    <col min="9735" max="9974" width="9.33203125" style="13"/>
    <col min="9975" max="9975" width="20.109375" style="13" bestFit="1" customWidth="1"/>
    <col min="9976" max="9976" width="41.6640625" style="13" customWidth="1"/>
    <col min="9977" max="9977" width="26.6640625" style="13" customWidth="1"/>
    <col min="9978" max="9978" width="14.109375" style="13" customWidth="1"/>
    <col min="9979" max="9979" width="10.44140625" style="13" customWidth="1"/>
    <col min="9980" max="9980" width="13.6640625" style="13" customWidth="1"/>
    <col min="9981" max="9981" width="11.6640625" style="13" customWidth="1"/>
    <col min="9982" max="9982" width="14.5546875" style="13" customWidth="1"/>
    <col min="9983" max="9983" width="11.6640625" style="13" customWidth="1"/>
    <col min="9984" max="9984" width="10.33203125" style="13" customWidth="1"/>
    <col min="9985" max="9985" width="19.33203125" style="13" customWidth="1"/>
    <col min="9986" max="9986" width="13.6640625" style="13" customWidth="1"/>
    <col min="9987" max="9987" width="14.33203125" style="13" customWidth="1"/>
    <col min="9988" max="9988" width="17.109375" style="13" customWidth="1"/>
    <col min="9989" max="9989" width="9.33203125" style="13" bestFit="1"/>
    <col min="9990" max="9990" width="9.6640625" style="13" bestFit="1" customWidth="1"/>
    <col min="9991" max="10230" width="9.33203125" style="13"/>
    <col min="10231" max="10231" width="20.109375" style="13" bestFit="1" customWidth="1"/>
    <col min="10232" max="10232" width="41.6640625" style="13" customWidth="1"/>
    <col min="10233" max="10233" width="26.6640625" style="13" customWidth="1"/>
    <col min="10234" max="10234" width="14.109375" style="13" customWidth="1"/>
    <col min="10235" max="10235" width="10.44140625" style="13" customWidth="1"/>
    <col min="10236" max="10236" width="13.6640625" style="13" customWidth="1"/>
    <col min="10237" max="10237" width="11.6640625" style="13" customWidth="1"/>
    <col min="10238" max="10238" width="14.5546875" style="13" customWidth="1"/>
    <col min="10239" max="10239" width="11.6640625" style="13" customWidth="1"/>
    <col min="10240" max="10240" width="10.33203125" style="13" customWidth="1"/>
    <col min="10241" max="10241" width="19.33203125" style="13" customWidth="1"/>
    <col min="10242" max="10242" width="13.6640625" style="13" customWidth="1"/>
    <col min="10243" max="10243" width="14.33203125" style="13" customWidth="1"/>
    <col min="10244" max="10244" width="17.109375" style="13" customWidth="1"/>
    <col min="10245" max="10245" width="9.33203125" style="13" bestFit="1"/>
    <col min="10246" max="10246" width="9.6640625" style="13" bestFit="1" customWidth="1"/>
    <col min="10247" max="10486" width="9.33203125" style="13"/>
    <col min="10487" max="10487" width="20.109375" style="13" bestFit="1" customWidth="1"/>
    <col min="10488" max="10488" width="41.6640625" style="13" customWidth="1"/>
    <col min="10489" max="10489" width="26.6640625" style="13" customWidth="1"/>
    <col min="10490" max="10490" width="14.109375" style="13" customWidth="1"/>
    <col min="10491" max="10491" width="10.44140625" style="13" customWidth="1"/>
    <col min="10492" max="10492" width="13.6640625" style="13" customWidth="1"/>
    <col min="10493" max="10493" width="11.6640625" style="13" customWidth="1"/>
    <col min="10494" max="10494" width="14.5546875" style="13" customWidth="1"/>
    <col min="10495" max="10495" width="11.6640625" style="13" customWidth="1"/>
    <col min="10496" max="10496" width="10.33203125" style="13" customWidth="1"/>
    <col min="10497" max="10497" width="19.33203125" style="13" customWidth="1"/>
    <col min="10498" max="10498" width="13.6640625" style="13" customWidth="1"/>
    <col min="10499" max="10499" width="14.33203125" style="13" customWidth="1"/>
    <col min="10500" max="10500" width="17.109375" style="13" customWidth="1"/>
    <col min="10501" max="10501" width="9.33203125" style="13" bestFit="1"/>
    <col min="10502" max="10502" width="9.6640625" style="13" bestFit="1" customWidth="1"/>
    <col min="10503" max="10742" width="9.33203125" style="13"/>
    <col min="10743" max="10743" width="20.109375" style="13" bestFit="1" customWidth="1"/>
    <col min="10744" max="10744" width="41.6640625" style="13" customWidth="1"/>
    <col min="10745" max="10745" width="26.6640625" style="13" customWidth="1"/>
    <col min="10746" max="10746" width="14.109375" style="13" customWidth="1"/>
    <col min="10747" max="10747" width="10.44140625" style="13" customWidth="1"/>
    <col min="10748" max="10748" width="13.6640625" style="13" customWidth="1"/>
    <col min="10749" max="10749" width="11.6640625" style="13" customWidth="1"/>
    <col min="10750" max="10750" width="14.5546875" style="13" customWidth="1"/>
    <col min="10751" max="10751" width="11.6640625" style="13" customWidth="1"/>
    <col min="10752" max="10752" width="10.33203125" style="13" customWidth="1"/>
    <col min="10753" max="10753" width="19.33203125" style="13" customWidth="1"/>
    <col min="10754" max="10754" width="13.6640625" style="13" customWidth="1"/>
    <col min="10755" max="10755" width="14.33203125" style="13" customWidth="1"/>
    <col min="10756" max="10756" width="17.109375" style="13" customWidth="1"/>
    <col min="10757" max="10757" width="9.33203125" style="13" bestFit="1"/>
    <col min="10758" max="10758" width="9.6640625" style="13" bestFit="1" customWidth="1"/>
    <col min="10759" max="10998" width="9.33203125" style="13"/>
    <col min="10999" max="10999" width="20.109375" style="13" bestFit="1" customWidth="1"/>
    <col min="11000" max="11000" width="41.6640625" style="13" customWidth="1"/>
    <col min="11001" max="11001" width="26.6640625" style="13" customWidth="1"/>
    <col min="11002" max="11002" width="14.109375" style="13" customWidth="1"/>
    <col min="11003" max="11003" width="10.44140625" style="13" customWidth="1"/>
    <col min="11004" max="11004" width="13.6640625" style="13" customWidth="1"/>
    <col min="11005" max="11005" width="11.6640625" style="13" customWidth="1"/>
    <col min="11006" max="11006" width="14.5546875" style="13" customWidth="1"/>
    <col min="11007" max="11007" width="11.6640625" style="13" customWidth="1"/>
    <col min="11008" max="11008" width="10.33203125" style="13" customWidth="1"/>
    <col min="11009" max="11009" width="19.33203125" style="13" customWidth="1"/>
    <col min="11010" max="11010" width="13.6640625" style="13" customWidth="1"/>
    <col min="11011" max="11011" width="14.33203125" style="13" customWidth="1"/>
    <col min="11012" max="11012" width="17.109375" style="13" customWidth="1"/>
    <col min="11013" max="11013" width="9.33203125" style="13" bestFit="1"/>
    <col min="11014" max="11014" width="9.6640625" style="13" bestFit="1" customWidth="1"/>
    <col min="11015" max="11254" width="9.33203125" style="13"/>
    <col min="11255" max="11255" width="20.109375" style="13" bestFit="1" customWidth="1"/>
    <col min="11256" max="11256" width="41.6640625" style="13" customWidth="1"/>
    <col min="11257" max="11257" width="26.6640625" style="13" customWidth="1"/>
    <col min="11258" max="11258" width="14.109375" style="13" customWidth="1"/>
    <col min="11259" max="11259" width="10.44140625" style="13" customWidth="1"/>
    <col min="11260" max="11260" width="13.6640625" style="13" customWidth="1"/>
    <col min="11261" max="11261" width="11.6640625" style="13" customWidth="1"/>
    <col min="11262" max="11262" width="14.5546875" style="13" customWidth="1"/>
    <col min="11263" max="11263" width="11.6640625" style="13" customWidth="1"/>
    <col min="11264" max="11264" width="10.33203125" style="13" customWidth="1"/>
    <col min="11265" max="11265" width="19.33203125" style="13" customWidth="1"/>
    <col min="11266" max="11266" width="13.6640625" style="13" customWidth="1"/>
    <col min="11267" max="11267" width="14.33203125" style="13" customWidth="1"/>
    <col min="11268" max="11268" width="17.109375" style="13" customWidth="1"/>
    <col min="11269" max="11269" width="9.33203125" style="13" bestFit="1"/>
    <col min="11270" max="11270" width="9.6640625" style="13" bestFit="1" customWidth="1"/>
    <col min="11271" max="11510" width="9.33203125" style="13"/>
    <col min="11511" max="11511" width="20.109375" style="13" bestFit="1" customWidth="1"/>
    <col min="11512" max="11512" width="41.6640625" style="13" customWidth="1"/>
    <col min="11513" max="11513" width="26.6640625" style="13" customWidth="1"/>
    <col min="11514" max="11514" width="14.109375" style="13" customWidth="1"/>
    <col min="11515" max="11515" width="10.44140625" style="13" customWidth="1"/>
    <col min="11516" max="11516" width="13.6640625" style="13" customWidth="1"/>
    <col min="11517" max="11517" width="11.6640625" style="13" customWidth="1"/>
    <col min="11518" max="11518" width="14.5546875" style="13" customWidth="1"/>
    <col min="11519" max="11519" width="11.6640625" style="13" customWidth="1"/>
    <col min="11520" max="11520" width="10.33203125" style="13" customWidth="1"/>
    <col min="11521" max="11521" width="19.33203125" style="13" customWidth="1"/>
    <col min="11522" max="11522" width="13.6640625" style="13" customWidth="1"/>
    <col min="11523" max="11523" width="14.33203125" style="13" customWidth="1"/>
    <col min="11524" max="11524" width="17.109375" style="13" customWidth="1"/>
    <col min="11525" max="11525" width="9.33203125" style="13" bestFit="1"/>
    <col min="11526" max="11526" width="9.6640625" style="13" bestFit="1" customWidth="1"/>
    <col min="11527" max="11766" width="9.33203125" style="13"/>
    <col min="11767" max="11767" width="20.109375" style="13" bestFit="1" customWidth="1"/>
    <col min="11768" max="11768" width="41.6640625" style="13" customWidth="1"/>
    <col min="11769" max="11769" width="26.6640625" style="13" customWidth="1"/>
    <col min="11770" max="11770" width="14.109375" style="13" customWidth="1"/>
    <col min="11771" max="11771" width="10.44140625" style="13" customWidth="1"/>
    <col min="11772" max="11772" width="13.6640625" style="13" customWidth="1"/>
    <col min="11773" max="11773" width="11.6640625" style="13" customWidth="1"/>
    <col min="11774" max="11774" width="14.5546875" style="13" customWidth="1"/>
    <col min="11775" max="11775" width="11.6640625" style="13" customWidth="1"/>
    <col min="11776" max="11776" width="10.33203125" style="13" customWidth="1"/>
    <col min="11777" max="11777" width="19.33203125" style="13" customWidth="1"/>
    <col min="11778" max="11778" width="13.6640625" style="13" customWidth="1"/>
    <col min="11779" max="11779" width="14.33203125" style="13" customWidth="1"/>
    <col min="11780" max="11780" width="17.109375" style="13" customWidth="1"/>
    <col min="11781" max="11781" width="9.33203125" style="13" bestFit="1"/>
    <col min="11782" max="11782" width="9.6640625" style="13" bestFit="1" customWidth="1"/>
    <col min="11783" max="12022" width="9.33203125" style="13"/>
    <col min="12023" max="12023" width="20.109375" style="13" bestFit="1" customWidth="1"/>
    <col min="12024" max="12024" width="41.6640625" style="13" customWidth="1"/>
    <col min="12025" max="12025" width="26.6640625" style="13" customWidth="1"/>
    <col min="12026" max="12026" width="14.109375" style="13" customWidth="1"/>
    <col min="12027" max="12027" width="10.44140625" style="13" customWidth="1"/>
    <col min="12028" max="12028" width="13.6640625" style="13" customWidth="1"/>
    <col min="12029" max="12029" width="11.6640625" style="13" customWidth="1"/>
    <col min="12030" max="12030" width="14.5546875" style="13" customWidth="1"/>
    <col min="12031" max="12031" width="11.6640625" style="13" customWidth="1"/>
    <col min="12032" max="12032" width="10.33203125" style="13" customWidth="1"/>
    <col min="12033" max="12033" width="19.33203125" style="13" customWidth="1"/>
    <col min="12034" max="12034" width="13.6640625" style="13" customWidth="1"/>
    <col min="12035" max="12035" width="14.33203125" style="13" customWidth="1"/>
    <col min="12036" max="12036" width="17.109375" style="13" customWidth="1"/>
    <col min="12037" max="12037" width="9.33203125" style="13" bestFit="1"/>
    <col min="12038" max="12038" width="9.6640625" style="13" bestFit="1" customWidth="1"/>
    <col min="12039" max="12278" width="9.33203125" style="13"/>
    <col min="12279" max="12279" width="20.109375" style="13" bestFit="1" customWidth="1"/>
    <col min="12280" max="12280" width="41.6640625" style="13" customWidth="1"/>
    <col min="12281" max="12281" width="26.6640625" style="13" customWidth="1"/>
    <col min="12282" max="12282" width="14.109375" style="13" customWidth="1"/>
    <col min="12283" max="12283" width="10.44140625" style="13" customWidth="1"/>
    <col min="12284" max="12284" width="13.6640625" style="13" customWidth="1"/>
    <col min="12285" max="12285" width="11.6640625" style="13" customWidth="1"/>
    <col min="12286" max="12286" width="14.5546875" style="13" customWidth="1"/>
    <col min="12287" max="12287" width="11.6640625" style="13" customWidth="1"/>
    <col min="12288" max="12288" width="10.33203125" style="13" customWidth="1"/>
    <col min="12289" max="12289" width="19.33203125" style="13" customWidth="1"/>
    <col min="12290" max="12290" width="13.6640625" style="13" customWidth="1"/>
    <col min="12291" max="12291" width="14.33203125" style="13" customWidth="1"/>
    <col min="12292" max="12292" width="17.109375" style="13" customWidth="1"/>
    <col min="12293" max="12293" width="9.33203125" style="13" bestFit="1"/>
    <col min="12294" max="12294" width="9.6640625" style="13" bestFit="1" customWidth="1"/>
    <col min="12295" max="12534" width="9.33203125" style="13"/>
    <col min="12535" max="12535" width="20.109375" style="13" bestFit="1" customWidth="1"/>
    <col min="12536" max="12536" width="41.6640625" style="13" customWidth="1"/>
    <col min="12537" max="12537" width="26.6640625" style="13" customWidth="1"/>
    <col min="12538" max="12538" width="14.109375" style="13" customWidth="1"/>
    <col min="12539" max="12539" width="10.44140625" style="13" customWidth="1"/>
    <col min="12540" max="12540" width="13.6640625" style="13" customWidth="1"/>
    <col min="12541" max="12541" width="11.6640625" style="13" customWidth="1"/>
    <col min="12542" max="12542" width="14.5546875" style="13" customWidth="1"/>
    <col min="12543" max="12543" width="11.6640625" style="13" customWidth="1"/>
    <col min="12544" max="12544" width="10.33203125" style="13" customWidth="1"/>
    <col min="12545" max="12545" width="19.33203125" style="13" customWidth="1"/>
    <col min="12546" max="12546" width="13.6640625" style="13" customWidth="1"/>
    <col min="12547" max="12547" width="14.33203125" style="13" customWidth="1"/>
    <col min="12548" max="12548" width="17.109375" style="13" customWidth="1"/>
    <col min="12549" max="12549" width="9.33203125" style="13" bestFit="1"/>
    <col min="12550" max="12550" width="9.6640625" style="13" bestFit="1" customWidth="1"/>
    <col min="12551" max="12790" width="9.33203125" style="13"/>
    <col min="12791" max="12791" width="20.109375" style="13" bestFit="1" customWidth="1"/>
    <col min="12792" max="12792" width="41.6640625" style="13" customWidth="1"/>
    <col min="12793" max="12793" width="26.6640625" style="13" customWidth="1"/>
    <col min="12794" max="12794" width="14.109375" style="13" customWidth="1"/>
    <col min="12795" max="12795" width="10.44140625" style="13" customWidth="1"/>
    <col min="12796" max="12796" width="13.6640625" style="13" customWidth="1"/>
    <col min="12797" max="12797" width="11.6640625" style="13" customWidth="1"/>
    <col min="12798" max="12798" width="14.5546875" style="13" customWidth="1"/>
    <col min="12799" max="12799" width="11.6640625" style="13" customWidth="1"/>
    <col min="12800" max="12800" width="10.33203125" style="13" customWidth="1"/>
    <col min="12801" max="12801" width="19.33203125" style="13" customWidth="1"/>
    <col min="12802" max="12802" width="13.6640625" style="13" customWidth="1"/>
    <col min="12803" max="12803" width="14.33203125" style="13" customWidth="1"/>
    <col min="12804" max="12804" width="17.109375" style="13" customWidth="1"/>
    <col min="12805" max="12805" width="9.33203125" style="13" bestFit="1"/>
    <col min="12806" max="12806" width="9.6640625" style="13" bestFit="1" customWidth="1"/>
    <col min="12807" max="13046" width="9.33203125" style="13"/>
    <col min="13047" max="13047" width="20.109375" style="13" bestFit="1" customWidth="1"/>
    <col min="13048" max="13048" width="41.6640625" style="13" customWidth="1"/>
    <col min="13049" max="13049" width="26.6640625" style="13" customWidth="1"/>
    <col min="13050" max="13050" width="14.109375" style="13" customWidth="1"/>
    <col min="13051" max="13051" width="10.44140625" style="13" customWidth="1"/>
    <col min="13052" max="13052" width="13.6640625" style="13" customWidth="1"/>
    <col min="13053" max="13053" width="11.6640625" style="13" customWidth="1"/>
    <col min="13054" max="13054" width="14.5546875" style="13" customWidth="1"/>
    <col min="13055" max="13055" width="11.6640625" style="13" customWidth="1"/>
    <col min="13056" max="13056" width="10.33203125" style="13" customWidth="1"/>
    <col min="13057" max="13057" width="19.33203125" style="13" customWidth="1"/>
    <col min="13058" max="13058" width="13.6640625" style="13" customWidth="1"/>
    <col min="13059" max="13059" width="14.33203125" style="13" customWidth="1"/>
    <col min="13060" max="13060" width="17.109375" style="13" customWidth="1"/>
    <col min="13061" max="13061" width="9.33203125" style="13" bestFit="1"/>
    <col min="13062" max="13062" width="9.6640625" style="13" bestFit="1" customWidth="1"/>
    <col min="13063" max="13302" width="9.33203125" style="13"/>
    <col min="13303" max="13303" width="20.109375" style="13" bestFit="1" customWidth="1"/>
    <col min="13304" max="13304" width="41.6640625" style="13" customWidth="1"/>
    <col min="13305" max="13305" width="26.6640625" style="13" customWidth="1"/>
    <col min="13306" max="13306" width="14.109375" style="13" customWidth="1"/>
    <col min="13307" max="13307" width="10.44140625" style="13" customWidth="1"/>
    <col min="13308" max="13308" width="13.6640625" style="13" customWidth="1"/>
    <col min="13309" max="13309" width="11.6640625" style="13" customWidth="1"/>
    <col min="13310" max="13310" width="14.5546875" style="13" customWidth="1"/>
    <col min="13311" max="13311" width="11.6640625" style="13" customWidth="1"/>
    <col min="13312" max="13312" width="10.33203125" style="13" customWidth="1"/>
    <col min="13313" max="13313" width="19.33203125" style="13" customWidth="1"/>
    <col min="13314" max="13314" width="13.6640625" style="13" customWidth="1"/>
    <col min="13315" max="13315" width="14.33203125" style="13" customWidth="1"/>
    <col min="13316" max="13316" width="17.109375" style="13" customWidth="1"/>
    <col min="13317" max="13317" width="9.33203125" style="13" bestFit="1"/>
    <col min="13318" max="13318" width="9.6640625" style="13" bestFit="1" customWidth="1"/>
    <col min="13319" max="13558" width="9.33203125" style="13"/>
    <col min="13559" max="13559" width="20.109375" style="13" bestFit="1" customWidth="1"/>
    <col min="13560" max="13560" width="41.6640625" style="13" customWidth="1"/>
    <col min="13561" max="13561" width="26.6640625" style="13" customWidth="1"/>
    <col min="13562" max="13562" width="14.109375" style="13" customWidth="1"/>
    <col min="13563" max="13563" width="10.44140625" style="13" customWidth="1"/>
    <col min="13564" max="13564" width="13.6640625" style="13" customWidth="1"/>
    <col min="13565" max="13565" width="11.6640625" style="13" customWidth="1"/>
    <col min="13566" max="13566" width="14.5546875" style="13" customWidth="1"/>
    <col min="13567" max="13567" width="11.6640625" style="13" customWidth="1"/>
    <col min="13568" max="13568" width="10.33203125" style="13" customWidth="1"/>
    <col min="13569" max="13569" width="19.33203125" style="13" customWidth="1"/>
    <col min="13570" max="13570" width="13.6640625" style="13" customWidth="1"/>
    <col min="13571" max="13571" width="14.33203125" style="13" customWidth="1"/>
    <col min="13572" max="13572" width="17.109375" style="13" customWidth="1"/>
    <col min="13573" max="13573" width="9.33203125" style="13" bestFit="1"/>
    <col min="13574" max="13574" width="9.6640625" style="13" bestFit="1" customWidth="1"/>
    <col min="13575" max="13814" width="9.33203125" style="13"/>
    <col min="13815" max="13815" width="20.109375" style="13" bestFit="1" customWidth="1"/>
    <col min="13816" max="13816" width="41.6640625" style="13" customWidth="1"/>
    <col min="13817" max="13817" width="26.6640625" style="13" customWidth="1"/>
    <col min="13818" max="13818" width="14.109375" style="13" customWidth="1"/>
    <col min="13819" max="13819" width="10.44140625" style="13" customWidth="1"/>
    <col min="13820" max="13820" width="13.6640625" style="13" customWidth="1"/>
    <col min="13821" max="13821" width="11.6640625" style="13" customWidth="1"/>
    <col min="13822" max="13822" width="14.5546875" style="13" customWidth="1"/>
    <col min="13823" max="13823" width="11.6640625" style="13" customWidth="1"/>
    <col min="13824" max="13824" width="10.33203125" style="13" customWidth="1"/>
    <col min="13825" max="13825" width="19.33203125" style="13" customWidth="1"/>
    <col min="13826" max="13826" width="13.6640625" style="13" customWidth="1"/>
    <col min="13827" max="13827" width="14.33203125" style="13" customWidth="1"/>
    <col min="13828" max="13828" width="17.109375" style="13" customWidth="1"/>
    <col min="13829" max="13829" width="9.33203125" style="13" bestFit="1"/>
    <col min="13830" max="13830" width="9.6640625" style="13" bestFit="1" customWidth="1"/>
    <col min="13831" max="14070" width="9.33203125" style="13"/>
    <col min="14071" max="14071" width="20.109375" style="13" bestFit="1" customWidth="1"/>
    <col min="14072" max="14072" width="41.6640625" style="13" customWidth="1"/>
    <col min="14073" max="14073" width="26.6640625" style="13" customWidth="1"/>
    <col min="14074" max="14074" width="14.109375" style="13" customWidth="1"/>
    <col min="14075" max="14075" width="10.44140625" style="13" customWidth="1"/>
    <col min="14076" max="14076" width="13.6640625" style="13" customWidth="1"/>
    <col min="14077" max="14077" width="11.6640625" style="13" customWidth="1"/>
    <col min="14078" max="14078" width="14.5546875" style="13" customWidth="1"/>
    <col min="14079" max="14079" width="11.6640625" style="13" customWidth="1"/>
    <col min="14080" max="14080" width="10.33203125" style="13" customWidth="1"/>
    <col min="14081" max="14081" width="19.33203125" style="13" customWidth="1"/>
    <col min="14082" max="14082" width="13.6640625" style="13" customWidth="1"/>
    <col min="14083" max="14083" width="14.33203125" style="13" customWidth="1"/>
    <col min="14084" max="14084" width="17.109375" style="13" customWidth="1"/>
    <col min="14085" max="14085" width="9.33203125" style="13" bestFit="1"/>
    <col min="14086" max="14086" width="9.6640625" style="13" bestFit="1" customWidth="1"/>
    <col min="14087" max="14326" width="9.33203125" style="13"/>
    <col min="14327" max="14327" width="20.109375" style="13" bestFit="1" customWidth="1"/>
    <col min="14328" max="14328" width="41.6640625" style="13" customWidth="1"/>
    <col min="14329" max="14329" width="26.6640625" style="13" customWidth="1"/>
    <col min="14330" max="14330" width="14.109375" style="13" customWidth="1"/>
    <col min="14331" max="14331" width="10.44140625" style="13" customWidth="1"/>
    <col min="14332" max="14332" width="13.6640625" style="13" customWidth="1"/>
    <col min="14333" max="14333" width="11.6640625" style="13" customWidth="1"/>
    <col min="14334" max="14334" width="14.5546875" style="13" customWidth="1"/>
    <col min="14335" max="14335" width="11.6640625" style="13" customWidth="1"/>
    <col min="14336" max="14336" width="10.33203125" style="13" customWidth="1"/>
    <col min="14337" max="14337" width="19.33203125" style="13" customWidth="1"/>
    <col min="14338" max="14338" width="13.6640625" style="13" customWidth="1"/>
    <col min="14339" max="14339" width="14.33203125" style="13" customWidth="1"/>
    <col min="14340" max="14340" width="17.109375" style="13" customWidth="1"/>
    <col min="14341" max="14341" width="9.33203125" style="13" bestFit="1"/>
    <col min="14342" max="14342" width="9.6640625" style="13" bestFit="1" customWidth="1"/>
    <col min="14343" max="14582" width="9.33203125" style="13"/>
    <col min="14583" max="14583" width="20.109375" style="13" bestFit="1" customWidth="1"/>
    <col min="14584" max="14584" width="41.6640625" style="13" customWidth="1"/>
    <col min="14585" max="14585" width="26.6640625" style="13" customWidth="1"/>
    <col min="14586" max="14586" width="14.109375" style="13" customWidth="1"/>
    <col min="14587" max="14587" width="10.44140625" style="13" customWidth="1"/>
    <col min="14588" max="14588" width="13.6640625" style="13" customWidth="1"/>
    <col min="14589" max="14589" width="11.6640625" style="13" customWidth="1"/>
    <col min="14590" max="14590" width="14.5546875" style="13" customWidth="1"/>
    <col min="14591" max="14591" width="11.6640625" style="13" customWidth="1"/>
    <col min="14592" max="14592" width="10.33203125" style="13" customWidth="1"/>
    <col min="14593" max="14593" width="19.33203125" style="13" customWidth="1"/>
    <col min="14594" max="14594" width="13.6640625" style="13" customWidth="1"/>
    <col min="14595" max="14595" width="14.33203125" style="13" customWidth="1"/>
    <col min="14596" max="14596" width="17.109375" style="13" customWidth="1"/>
    <col min="14597" max="14597" width="9.33203125" style="13" bestFit="1"/>
    <col min="14598" max="14598" width="9.6640625" style="13" bestFit="1" customWidth="1"/>
    <col min="14599" max="14838" width="9.33203125" style="13"/>
    <col min="14839" max="14839" width="20.109375" style="13" bestFit="1" customWidth="1"/>
    <col min="14840" max="14840" width="41.6640625" style="13" customWidth="1"/>
    <col min="14841" max="14841" width="26.6640625" style="13" customWidth="1"/>
    <col min="14842" max="14842" width="14.109375" style="13" customWidth="1"/>
    <col min="14843" max="14843" width="10.44140625" style="13" customWidth="1"/>
    <col min="14844" max="14844" width="13.6640625" style="13" customWidth="1"/>
    <col min="14845" max="14845" width="11.6640625" style="13" customWidth="1"/>
    <col min="14846" max="14846" width="14.5546875" style="13" customWidth="1"/>
    <col min="14847" max="14847" width="11.6640625" style="13" customWidth="1"/>
    <col min="14848" max="14848" width="10.33203125" style="13" customWidth="1"/>
    <col min="14849" max="14849" width="19.33203125" style="13" customWidth="1"/>
    <col min="14850" max="14850" width="13.6640625" style="13" customWidth="1"/>
    <col min="14851" max="14851" width="14.33203125" style="13" customWidth="1"/>
    <col min="14852" max="14852" width="17.109375" style="13" customWidth="1"/>
    <col min="14853" max="14853" width="9.33203125" style="13" bestFit="1"/>
    <col min="14854" max="14854" width="9.6640625" style="13" bestFit="1" customWidth="1"/>
    <col min="14855" max="15094" width="9.33203125" style="13"/>
    <col min="15095" max="15095" width="20.109375" style="13" bestFit="1" customWidth="1"/>
    <col min="15096" max="15096" width="41.6640625" style="13" customWidth="1"/>
    <col min="15097" max="15097" width="26.6640625" style="13" customWidth="1"/>
    <col min="15098" max="15098" width="14.109375" style="13" customWidth="1"/>
    <col min="15099" max="15099" width="10.44140625" style="13" customWidth="1"/>
    <col min="15100" max="15100" width="13.6640625" style="13" customWidth="1"/>
    <col min="15101" max="15101" width="11.6640625" style="13" customWidth="1"/>
    <col min="15102" max="15102" width="14.5546875" style="13" customWidth="1"/>
    <col min="15103" max="15103" width="11.6640625" style="13" customWidth="1"/>
    <col min="15104" max="15104" width="10.33203125" style="13" customWidth="1"/>
    <col min="15105" max="15105" width="19.33203125" style="13" customWidth="1"/>
    <col min="15106" max="15106" width="13.6640625" style="13" customWidth="1"/>
    <col min="15107" max="15107" width="14.33203125" style="13" customWidth="1"/>
    <col min="15108" max="15108" width="17.109375" style="13" customWidth="1"/>
    <col min="15109" max="15109" width="9.33203125" style="13" bestFit="1"/>
    <col min="15110" max="15110" width="9.6640625" style="13" bestFit="1" customWidth="1"/>
    <col min="15111" max="15350" width="9.33203125" style="13"/>
    <col min="15351" max="15351" width="20.109375" style="13" bestFit="1" customWidth="1"/>
    <col min="15352" max="15352" width="41.6640625" style="13" customWidth="1"/>
    <col min="15353" max="15353" width="26.6640625" style="13" customWidth="1"/>
    <col min="15354" max="15354" width="14.109375" style="13" customWidth="1"/>
    <col min="15355" max="15355" width="10.44140625" style="13" customWidth="1"/>
    <col min="15356" max="15356" width="13.6640625" style="13" customWidth="1"/>
    <col min="15357" max="15357" width="11.6640625" style="13" customWidth="1"/>
    <col min="15358" max="15358" width="14.5546875" style="13" customWidth="1"/>
    <col min="15359" max="15359" width="11.6640625" style="13" customWidth="1"/>
    <col min="15360" max="15360" width="10.33203125" style="13" customWidth="1"/>
    <col min="15361" max="15361" width="19.33203125" style="13" customWidth="1"/>
    <col min="15362" max="15362" width="13.6640625" style="13" customWidth="1"/>
    <col min="15363" max="15363" width="14.33203125" style="13" customWidth="1"/>
    <col min="15364" max="15364" width="17.109375" style="13" customWidth="1"/>
    <col min="15365" max="15365" width="9.33203125" style="13" bestFit="1"/>
    <col min="15366" max="15366" width="9.6640625" style="13" bestFit="1" customWidth="1"/>
    <col min="15367" max="15606" width="9.33203125" style="13"/>
    <col min="15607" max="15607" width="20.109375" style="13" bestFit="1" customWidth="1"/>
    <col min="15608" max="15608" width="41.6640625" style="13" customWidth="1"/>
    <col min="15609" max="15609" width="26.6640625" style="13" customWidth="1"/>
    <col min="15610" max="15610" width="14.109375" style="13" customWidth="1"/>
    <col min="15611" max="15611" width="10.44140625" style="13" customWidth="1"/>
    <col min="15612" max="15612" width="13.6640625" style="13" customWidth="1"/>
    <col min="15613" max="15613" width="11.6640625" style="13" customWidth="1"/>
    <col min="15614" max="15614" width="14.5546875" style="13" customWidth="1"/>
    <col min="15615" max="15615" width="11.6640625" style="13" customWidth="1"/>
    <col min="15616" max="15616" width="10.33203125" style="13" customWidth="1"/>
    <col min="15617" max="15617" width="19.33203125" style="13" customWidth="1"/>
    <col min="15618" max="15618" width="13.6640625" style="13" customWidth="1"/>
    <col min="15619" max="15619" width="14.33203125" style="13" customWidth="1"/>
    <col min="15620" max="15620" width="17.109375" style="13" customWidth="1"/>
    <col min="15621" max="15621" width="9.33203125" style="13" bestFit="1"/>
    <col min="15622" max="15622" width="9.6640625" style="13" bestFit="1" customWidth="1"/>
    <col min="15623" max="15862" width="9.33203125" style="13"/>
    <col min="15863" max="15863" width="20.109375" style="13" bestFit="1" customWidth="1"/>
    <col min="15864" max="15864" width="41.6640625" style="13" customWidth="1"/>
    <col min="15865" max="15865" width="26.6640625" style="13" customWidth="1"/>
    <col min="15866" max="15866" width="14.109375" style="13" customWidth="1"/>
    <col min="15867" max="15867" width="10.44140625" style="13" customWidth="1"/>
    <col min="15868" max="15868" width="13.6640625" style="13" customWidth="1"/>
    <col min="15869" max="15869" width="11.6640625" style="13" customWidth="1"/>
    <col min="15870" max="15870" width="14.5546875" style="13" customWidth="1"/>
    <col min="15871" max="15871" width="11.6640625" style="13" customWidth="1"/>
    <col min="15872" max="15872" width="10.33203125" style="13" customWidth="1"/>
    <col min="15873" max="15873" width="19.33203125" style="13" customWidth="1"/>
    <col min="15874" max="15874" width="13.6640625" style="13" customWidth="1"/>
    <col min="15875" max="15875" width="14.33203125" style="13" customWidth="1"/>
    <col min="15876" max="15876" width="17.109375" style="13" customWidth="1"/>
    <col min="15877" max="15877" width="9.33203125" style="13" bestFit="1"/>
    <col min="15878" max="15878" width="9.6640625" style="13" bestFit="1" customWidth="1"/>
    <col min="15879" max="16118" width="9.33203125" style="13"/>
    <col min="16119" max="16119" width="20.109375" style="13" bestFit="1" customWidth="1"/>
    <col min="16120" max="16120" width="41.6640625" style="13" customWidth="1"/>
    <col min="16121" max="16121" width="26.6640625" style="13" customWidth="1"/>
    <col min="16122" max="16122" width="14.109375" style="13" customWidth="1"/>
    <col min="16123" max="16123" width="10.44140625" style="13" customWidth="1"/>
    <col min="16124" max="16124" width="13.6640625" style="13" customWidth="1"/>
    <col min="16125" max="16125" width="11.6640625" style="13" customWidth="1"/>
    <col min="16126" max="16126" width="14.5546875" style="13" customWidth="1"/>
    <col min="16127" max="16127" width="11.6640625" style="13" customWidth="1"/>
    <col min="16128" max="16128" width="10.33203125" style="13" customWidth="1"/>
    <col min="16129" max="16129" width="19.33203125" style="13" customWidth="1"/>
    <col min="16130" max="16130" width="13.6640625" style="13" customWidth="1"/>
    <col min="16131" max="16131" width="14.33203125" style="13" customWidth="1"/>
    <col min="16132" max="16132" width="17.109375" style="13" customWidth="1"/>
    <col min="16133" max="16133" width="9.33203125" style="13" bestFit="1"/>
    <col min="16134" max="16134" width="9.6640625" style="13" bestFit="1" customWidth="1"/>
    <col min="16135" max="16384" width="9.33203125" style="13"/>
  </cols>
  <sheetData>
    <row r="1" spans="1:6" s="5" customFormat="1" ht="33.6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ht="20.100000000000001" hidden="1" customHeight="1" x14ac:dyDescent="0.25">
      <c r="A2" s="6" t="s">
        <v>6</v>
      </c>
      <c r="B2" s="6" t="s">
        <v>7</v>
      </c>
      <c r="C2" s="7" t="s">
        <v>8</v>
      </c>
      <c r="D2" s="12" t="s">
        <v>9</v>
      </c>
      <c r="E2" s="12" t="s">
        <v>10</v>
      </c>
      <c r="F2" s="12" t="s">
        <v>11</v>
      </c>
    </row>
    <row r="3" spans="1:6" ht="20.100000000000001" hidden="1" customHeight="1" x14ac:dyDescent="0.25">
      <c r="A3" s="6" t="s">
        <v>6</v>
      </c>
      <c r="B3" s="6" t="s">
        <v>7</v>
      </c>
      <c r="C3" s="7" t="s">
        <v>12</v>
      </c>
      <c r="D3" s="12" t="s">
        <v>9</v>
      </c>
      <c r="E3" s="12" t="s">
        <v>10</v>
      </c>
      <c r="F3" s="12" t="s">
        <v>11</v>
      </c>
    </row>
    <row r="4" spans="1:6" ht="20.100000000000001" hidden="1" customHeight="1" x14ac:dyDescent="0.25">
      <c r="A4" s="14" t="s">
        <v>13</v>
      </c>
      <c r="B4" s="14" t="s">
        <v>14</v>
      </c>
      <c r="C4" s="7" t="s">
        <v>15</v>
      </c>
      <c r="D4" s="12" t="s">
        <v>16</v>
      </c>
      <c r="E4" s="12" t="s">
        <v>10</v>
      </c>
      <c r="F4" s="12" t="s">
        <v>11</v>
      </c>
    </row>
    <row r="5" spans="1:6" ht="20.100000000000001" hidden="1" customHeight="1" x14ac:dyDescent="0.25">
      <c r="A5" s="6" t="s">
        <v>6</v>
      </c>
      <c r="B5" s="6" t="s">
        <v>7</v>
      </c>
      <c r="C5" s="7" t="s">
        <v>17</v>
      </c>
      <c r="D5" s="12" t="s">
        <v>9</v>
      </c>
      <c r="E5" s="12" t="s">
        <v>10</v>
      </c>
      <c r="F5" s="12" t="s">
        <v>18</v>
      </c>
    </row>
    <row r="6" spans="1:6" ht="20.100000000000001" hidden="1" customHeight="1" x14ac:dyDescent="0.25">
      <c r="A6" s="6" t="s">
        <v>6</v>
      </c>
      <c r="B6" s="6" t="s">
        <v>7</v>
      </c>
      <c r="C6" s="7" t="s">
        <v>19</v>
      </c>
      <c r="D6" s="12" t="s">
        <v>9</v>
      </c>
      <c r="E6" s="12" t="s">
        <v>10</v>
      </c>
      <c r="F6" s="12" t="s">
        <v>11</v>
      </c>
    </row>
    <row r="7" spans="1:6" ht="20.100000000000001" hidden="1" customHeight="1" x14ac:dyDescent="0.25">
      <c r="A7" s="6" t="s">
        <v>20</v>
      </c>
      <c r="B7" s="6" t="s">
        <v>7</v>
      </c>
      <c r="C7" s="7" t="s">
        <v>21</v>
      </c>
      <c r="D7" s="12" t="s">
        <v>22</v>
      </c>
      <c r="E7" s="12" t="s">
        <v>23</v>
      </c>
      <c r="F7" s="12" t="s">
        <v>18</v>
      </c>
    </row>
    <row r="8" spans="1:6" ht="20.100000000000001" hidden="1" customHeight="1" x14ac:dyDescent="0.25">
      <c r="A8" s="6" t="s">
        <v>20</v>
      </c>
      <c r="B8" s="6" t="s">
        <v>7</v>
      </c>
      <c r="C8" s="7" t="s">
        <v>24</v>
      </c>
      <c r="D8" s="12" t="s">
        <v>22</v>
      </c>
      <c r="E8" s="12" t="s">
        <v>23</v>
      </c>
      <c r="F8" s="12" t="s">
        <v>11</v>
      </c>
    </row>
    <row r="9" spans="1:6" ht="20.100000000000001" hidden="1" customHeight="1" x14ac:dyDescent="0.25">
      <c r="A9" s="6" t="s">
        <v>20</v>
      </c>
      <c r="B9" s="6" t="s">
        <v>7</v>
      </c>
      <c r="C9" s="11" t="s">
        <v>25</v>
      </c>
      <c r="D9" s="12" t="s">
        <v>22</v>
      </c>
      <c r="E9" s="12" t="s">
        <v>23</v>
      </c>
      <c r="F9" s="12" t="s">
        <v>11</v>
      </c>
    </row>
    <row r="10" spans="1:6" ht="20.100000000000001" hidden="1" customHeight="1" x14ac:dyDescent="0.25">
      <c r="A10" s="6" t="s">
        <v>20</v>
      </c>
      <c r="B10" s="6" t="s">
        <v>7</v>
      </c>
      <c r="C10" s="7" t="s">
        <v>26</v>
      </c>
      <c r="D10" s="12" t="s">
        <v>22</v>
      </c>
      <c r="E10" s="12" t="s">
        <v>23</v>
      </c>
      <c r="F10" s="12" t="s">
        <v>11</v>
      </c>
    </row>
    <row r="11" spans="1:6" ht="20.100000000000001" hidden="1" customHeight="1" x14ac:dyDescent="0.25">
      <c r="A11" s="6" t="s">
        <v>20</v>
      </c>
      <c r="B11" s="6" t="s">
        <v>7</v>
      </c>
      <c r="C11" s="9" t="s">
        <v>27</v>
      </c>
      <c r="D11" s="12" t="s">
        <v>22</v>
      </c>
      <c r="E11" s="12" t="s">
        <v>23</v>
      </c>
      <c r="F11" s="12" t="s">
        <v>11</v>
      </c>
    </row>
    <row r="12" spans="1:6" ht="20.100000000000001" hidden="1" customHeight="1" x14ac:dyDescent="0.25">
      <c r="A12" s="6" t="s">
        <v>28</v>
      </c>
      <c r="B12" s="6" t="s">
        <v>7</v>
      </c>
      <c r="C12" s="9" t="s">
        <v>29</v>
      </c>
      <c r="D12" s="12" t="s">
        <v>16</v>
      </c>
      <c r="E12" s="12" t="s">
        <v>10</v>
      </c>
      <c r="F12" s="12" t="s">
        <v>11</v>
      </c>
    </row>
    <row r="13" spans="1:6" ht="20.100000000000001" hidden="1" customHeight="1" x14ac:dyDescent="0.25">
      <c r="A13" s="6" t="s">
        <v>28</v>
      </c>
      <c r="B13" s="6" t="s">
        <v>7</v>
      </c>
      <c r="C13" s="9" t="s">
        <v>30</v>
      </c>
      <c r="D13" s="12" t="s">
        <v>16</v>
      </c>
      <c r="E13" s="12" t="s">
        <v>10</v>
      </c>
      <c r="F13" s="12" t="s">
        <v>11</v>
      </c>
    </row>
    <row r="14" spans="1:6" ht="20.100000000000001" hidden="1" customHeight="1" x14ac:dyDescent="0.25">
      <c r="A14" s="6" t="s">
        <v>28</v>
      </c>
      <c r="B14" s="6" t="s">
        <v>7</v>
      </c>
      <c r="C14" s="9" t="s">
        <v>31</v>
      </c>
      <c r="D14" s="12" t="s">
        <v>16</v>
      </c>
      <c r="E14" s="12" t="s">
        <v>10</v>
      </c>
      <c r="F14" s="12" t="s">
        <v>11</v>
      </c>
    </row>
    <row r="15" spans="1:6" ht="20.100000000000001" hidden="1" customHeight="1" x14ac:dyDescent="0.25">
      <c r="A15" s="6" t="s">
        <v>28</v>
      </c>
      <c r="B15" s="6" t="s">
        <v>7</v>
      </c>
      <c r="C15" s="9" t="s">
        <v>32</v>
      </c>
      <c r="D15" s="12" t="s">
        <v>16</v>
      </c>
      <c r="E15" s="12" t="s">
        <v>10</v>
      </c>
      <c r="F15" s="12" t="s">
        <v>18</v>
      </c>
    </row>
    <row r="16" spans="1:6" ht="20.100000000000001" hidden="1" customHeight="1" x14ac:dyDescent="0.25">
      <c r="A16" s="6" t="s">
        <v>33</v>
      </c>
      <c r="B16" s="6" t="s">
        <v>14</v>
      </c>
      <c r="C16" s="9" t="s">
        <v>34</v>
      </c>
      <c r="D16" s="12" t="s">
        <v>35</v>
      </c>
      <c r="E16" s="12" t="s">
        <v>23</v>
      </c>
      <c r="F16" s="12" t="s">
        <v>11</v>
      </c>
    </row>
    <row r="17" spans="1:6" ht="20.100000000000001" hidden="1" customHeight="1" x14ac:dyDescent="0.25">
      <c r="A17" s="6" t="s">
        <v>33</v>
      </c>
      <c r="B17" s="6" t="s">
        <v>14</v>
      </c>
      <c r="C17" s="9" t="s">
        <v>36</v>
      </c>
      <c r="D17" s="12" t="s">
        <v>35</v>
      </c>
      <c r="E17" s="12" t="s">
        <v>23</v>
      </c>
      <c r="F17" s="12" t="s">
        <v>11</v>
      </c>
    </row>
    <row r="18" spans="1:6" ht="20.100000000000001" hidden="1" customHeight="1" x14ac:dyDescent="0.25">
      <c r="A18" s="6" t="s">
        <v>33</v>
      </c>
      <c r="B18" s="6" t="s">
        <v>14</v>
      </c>
      <c r="C18" s="9" t="s">
        <v>37</v>
      </c>
      <c r="D18" s="12" t="s">
        <v>35</v>
      </c>
      <c r="E18" s="12" t="s">
        <v>23</v>
      </c>
      <c r="F18" s="12" t="s">
        <v>11</v>
      </c>
    </row>
    <row r="19" spans="1:6" ht="20.100000000000001" hidden="1" customHeight="1" x14ac:dyDescent="0.25">
      <c r="A19" s="6" t="s">
        <v>33</v>
      </c>
      <c r="B19" s="6" t="s">
        <v>14</v>
      </c>
      <c r="C19" s="9" t="s">
        <v>38</v>
      </c>
      <c r="D19" s="12" t="s">
        <v>35</v>
      </c>
      <c r="E19" s="12" t="s">
        <v>23</v>
      </c>
      <c r="F19" s="12" t="s">
        <v>18</v>
      </c>
    </row>
    <row r="20" spans="1:6" ht="20.100000000000001" hidden="1" customHeight="1" x14ac:dyDescent="0.25">
      <c r="A20" s="6" t="s">
        <v>33</v>
      </c>
      <c r="B20" s="6" t="s">
        <v>14</v>
      </c>
      <c r="C20" s="8" t="s">
        <v>39</v>
      </c>
      <c r="D20" s="12" t="s">
        <v>35</v>
      </c>
      <c r="E20" s="12" t="s">
        <v>23</v>
      </c>
      <c r="F20" s="12" t="s">
        <v>11</v>
      </c>
    </row>
    <row r="21" spans="1:6" ht="20.100000000000001" customHeight="1" x14ac:dyDescent="0.25">
      <c r="A21" s="6" t="s">
        <v>40</v>
      </c>
      <c r="B21" s="6" t="s">
        <v>7</v>
      </c>
      <c r="C21" s="8" t="s">
        <v>41</v>
      </c>
      <c r="D21" s="12" t="s">
        <v>35</v>
      </c>
      <c r="E21" s="12" t="s">
        <v>10</v>
      </c>
      <c r="F21" s="12" t="s">
        <v>11</v>
      </c>
    </row>
    <row r="22" spans="1:6" ht="20.100000000000001" customHeight="1" x14ac:dyDescent="0.25">
      <c r="A22" s="6" t="s">
        <v>40</v>
      </c>
      <c r="B22" s="6" t="s">
        <v>7</v>
      </c>
      <c r="C22" s="8" t="s">
        <v>42</v>
      </c>
      <c r="D22" s="12" t="s">
        <v>35</v>
      </c>
      <c r="E22" s="12" t="s">
        <v>10</v>
      </c>
      <c r="F22" s="12" t="s">
        <v>11</v>
      </c>
    </row>
    <row r="23" spans="1:6" ht="20.100000000000001" customHeight="1" x14ac:dyDescent="0.25">
      <c r="A23" s="6" t="s">
        <v>40</v>
      </c>
      <c r="B23" s="6" t="s">
        <v>7</v>
      </c>
      <c r="C23" s="8" t="s">
        <v>43</v>
      </c>
      <c r="D23" s="12" t="s">
        <v>35</v>
      </c>
      <c r="E23" s="12" t="s">
        <v>10</v>
      </c>
      <c r="F23" s="12" t="s">
        <v>11</v>
      </c>
    </row>
    <row r="24" spans="1:6" ht="20.100000000000001" customHeight="1" x14ac:dyDescent="0.25">
      <c r="A24" s="6" t="s">
        <v>40</v>
      </c>
      <c r="B24" s="6" t="s">
        <v>7</v>
      </c>
      <c r="C24" s="8" t="s">
        <v>44</v>
      </c>
      <c r="D24" s="12" t="s">
        <v>35</v>
      </c>
      <c r="E24" s="12" t="s">
        <v>10</v>
      </c>
      <c r="F24" s="12" t="s">
        <v>11</v>
      </c>
    </row>
    <row r="25" spans="1:6" ht="20.100000000000001" customHeight="1" x14ac:dyDescent="0.25">
      <c r="A25" s="6" t="s">
        <v>40</v>
      </c>
      <c r="B25" s="6" t="s">
        <v>7</v>
      </c>
      <c r="C25" s="8" t="s">
        <v>45</v>
      </c>
      <c r="D25" s="12" t="s">
        <v>35</v>
      </c>
      <c r="E25" s="12" t="s">
        <v>10</v>
      </c>
      <c r="F25" s="12" t="s">
        <v>18</v>
      </c>
    </row>
    <row r="26" spans="1:6" ht="20.100000000000001" hidden="1" customHeight="1" x14ac:dyDescent="0.25">
      <c r="A26" s="6" t="s">
        <v>46</v>
      </c>
      <c r="B26" s="6" t="s">
        <v>47</v>
      </c>
      <c r="C26" s="8" t="s">
        <v>48</v>
      </c>
      <c r="D26" s="12" t="s">
        <v>35</v>
      </c>
      <c r="E26" s="12" t="s">
        <v>49</v>
      </c>
      <c r="F26" s="12" t="s">
        <v>18</v>
      </c>
    </row>
    <row r="27" spans="1:6" ht="20.100000000000001" hidden="1" customHeight="1" x14ac:dyDescent="0.25">
      <c r="A27" s="6" t="s">
        <v>46</v>
      </c>
      <c r="B27" s="6" t="s">
        <v>47</v>
      </c>
      <c r="C27" s="8" t="s">
        <v>50</v>
      </c>
      <c r="D27" s="12" t="s">
        <v>35</v>
      </c>
      <c r="E27" s="12" t="s">
        <v>49</v>
      </c>
      <c r="F27" s="12" t="s">
        <v>11</v>
      </c>
    </row>
    <row r="28" spans="1:6" ht="20.100000000000001" hidden="1" customHeight="1" x14ac:dyDescent="0.25">
      <c r="A28" s="6" t="s">
        <v>46</v>
      </c>
      <c r="B28" s="6" t="s">
        <v>47</v>
      </c>
      <c r="C28" s="8" t="s">
        <v>51</v>
      </c>
      <c r="D28" s="12" t="s">
        <v>35</v>
      </c>
      <c r="E28" s="12" t="s">
        <v>49</v>
      </c>
      <c r="F28" s="12" t="s">
        <v>11</v>
      </c>
    </row>
    <row r="29" spans="1:6" ht="20.100000000000001" hidden="1" customHeight="1" x14ac:dyDescent="0.25">
      <c r="A29" s="6" t="s">
        <v>46</v>
      </c>
      <c r="B29" s="6" t="s">
        <v>47</v>
      </c>
      <c r="C29" s="8" t="s">
        <v>52</v>
      </c>
      <c r="D29" s="12" t="s">
        <v>35</v>
      </c>
      <c r="E29" s="12" t="s">
        <v>49</v>
      </c>
      <c r="F29" s="12" t="s">
        <v>11</v>
      </c>
    </row>
    <row r="30" spans="1:6" ht="20.100000000000001" hidden="1" customHeight="1" x14ac:dyDescent="0.25">
      <c r="A30" s="6" t="s">
        <v>53</v>
      </c>
      <c r="B30" s="6" t="s">
        <v>7</v>
      </c>
      <c r="C30" s="8" t="s">
        <v>54</v>
      </c>
      <c r="D30" s="12" t="s">
        <v>55</v>
      </c>
      <c r="E30" s="12" t="s">
        <v>10</v>
      </c>
      <c r="F30" s="12" t="s">
        <v>11</v>
      </c>
    </row>
    <row r="31" spans="1:6" ht="20.100000000000001" hidden="1" customHeight="1" x14ac:dyDescent="0.25">
      <c r="A31" s="6" t="s">
        <v>53</v>
      </c>
      <c r="B31" s="6" t="s">
        <v>7</v>
      </c>
      <c r="C31" s="8" t="s">
        <v>56</v>
      </c>
      <c r="D31" s="12" t="s">
        <v>55</v>
      </c>
      <c r="E31" s="12" t="s">
        <v>10</v>
      </c>
      <c r="F31" s="12" t="s">
        <v>11</v>
      </c>
    </row>
    <row r="32" spans="1:6" ht="20.100000000000001" hidden="1" customHeight="1" x14ac:dyDescent="0.25">
      <c r="A32" s="6" t="s">
        <v>53</v>
      </c>
      <c r="B32" s="6" t="s">
        <v>7</v>
      </c>
      <c r="C32" s="8" t="s">
        <v>57</v>
      </c>
      <c r="D32" s="12" t="s">
        <v>55</v>
      </c>
      <c r="E32" s="12" t="s">
        <v>10</v>
      </c>
      <c r="F32" s="12" t="s">
        <v>18</v>
      </c>
    </row>
    <row r="33" spans="1:6" ht="20.100000000000001" hidden="1" customHeight="1" x14ac:dyDescent="0.25">
      <c r="A33" s="6" t="s">
        <v>58</v>
      </c>
      <c r="B33" s="6" t="s">
        <v>7</v>
      </c>
      <c r="C33" s="8" t="s">
        <v>59</v>
      </c>
      <c r="D33" s="12" t="s">
        <v>60</v>
      </c>
      <c r="E33" s="12" t="s">
        <v>23</v>
      </c>
      <c r="F33" s="12" t="s">
        <v>11</v>
      </c>
    </row>
    <row r="34" spans="1:6" ht="20.100000000000001" hidden="1" customHeight="1" x14ac:dyDescent="0.25">
      <c r="A34" s="6" t="s">
        <v>46</v>
      </c>
      <c r="B34" s="6" t="s">
        <v>47</v>
      </c>
      <c r="C34" s="8" t="s">
        <v>61</v>
      </c>
      <c r="D34" s="12" t="s">
        <v>35</v>
      </c>
      <c r="E34" s="12" t="s">
        <v>49</v>
      </c>
      <c r="F34" s="12" t="s">
        <v>11</v>
      </c>
    </row>
    <row r="35" spans="1:6" ht="20.100000000000001" hidden="1" customHeight="1" x14ac:dyDescent="0.25">
      <c r="A35" s="6" t="s">
        <v>53</v>
      </c>
      <c r="B35" s="6" t="s">
        <v>7</v>
      </c>
      <c r="C35" s="8" t="s">
        <v>62</v>
      </c>
      <c r="D35" s="12" t="s">
        <v>55</v>
      </c>
      <c r="E35" s="12" t="s">
        <v>10</v>
      </c>
      <c r="F35" s="12" t="s">
        <v>11</v>
      </c>
    </row>
    <row r="36" spans="1:6" ht="20.100000000000001" hidden="1" customHeight="1" x14ac:dyDescent="0.25">
      <c r="A36" s="6" t="s">
        <v>63</v>
      </c>
      <c r="B36" s="6" t="s">
        <v>47</v>
      </c>
      <c r="C36" s="8" t="s">
        <v>64</v>
      </c>
      <c r="D36" s="12" t="s">
        <v>65</v>
      </c>
      <c r="E36" s="12" t="s">
        <v>49</v>
      </c>
      <c r="F36" s="12" t="s">
        <v>11</v>
      </c>
    </row>
    <row r="37" spans="1:6" ht="20.100000000000001" hidden="1" customHeight="1" x14ac:dyDescent="0.25">
      <c r="A37" s="6" t="s">
        <v>66</v>
      </c>
      <c r="B37" s="6" t="s">
        <v>67</v>
      </c>
      <c r="C37" s="8" t="s">
        <v>68</v>
      </c>
      <c r="D37" s="12" t="s">
        <v>35</v>
      </c>
      <c r="E37" s="12" t="s">
        <v>69</v>
      </c>
      <c r="F37" s="12" t="s">
        <v>11</v>
      </c>
    </row>
    <row r="38" spans="1:6" ht="20.100000000000001" hidden="1" customHeight="1" x14ac:dyDescent="0.25">
      <c r="A38" s="6" t="s">
        <v>66</v>
      </c>
      <c r="B38" s="6" t="s">
        <v>67</v>
      </c>
      <c r="C38" s="8" t="s">
        <v>70</v>
      </c>
      <c r="D38" s="12" t="s">
        <v>35</v>
      </c>
      <c r="E38" s="12" t="s">
        <v>69</v>
      </c>
      <c r="F38" s="12" t="s">
        <v>11</v>
      </c>
    </row>
    <row r="39" spans="1:6" ht="20.100000000000001" hidden="1" customHeight="1" x14ac:dyDescent="0.25">
      <c r="A39" s="6" t="s">
        <v>66</v>
      </c>
      <c r="B39" s="6" t="s">
        <v>67</v>
      </c>
      <c r="C39" s="8" t="s">
        <v>71</v>
      </c>
      <c r="D39" s="12" t="s">
        <v>35</v>
      </c>
      <c r="E39" s="12" t="s">
        <v>69</v>
      </c>
      <c r="F39" s="12" t="s">
        <v>11</v>
      </c>
    </row>
    <row r="40" spans="1:6" ht="20.100000000000001" hidden="1" customHeight="1" x14ac:dyDescent="0.25">
      <c r="A40" s="6" t="s">
        <v>58</v>
      </c>
      <c r="B40" s="6" t="s">
        <v>7</v>
      </c>
      <c r="C40" s="8" t="s">
        <v>72</v>
      </c>
      <c r="D40" s="12" t="s">
        <v>60</v>
      </c>
      <c r="E40" s="12" t="s">
        <v>23</v>
      </c>
      <c r="F40" s="12" t="s">
        <v>11</v>
      </c>
    </row>
    <row r="41" spans="1:6" ht="20.100000000000001" hidden="1" customHeight="1" x14ac:dyDescent="0.25">
      <c r="A41" s="6" t="s">
        <v>66</v>
      </c>
      <c r="B41" s="6" t="s">
        <v>67</v>
      </c>
      <c r="C41" s="8" t="s">
        <v>73</v>
      </c>
      <c r="D41" s="12" t="s">
        <v>35</v>
      </c>
      <c r="E41" s="12" t="s">
        <v>69</v>
      </c>
      <c r="F41" s="12" t="s">
        <v>11</v>
      </c>
    </row>
    <row r="42" spans="1:6" ht="20.100000000000001" hidden="1" customHeight="1" x14ac:dyDescent="0.25">
      <c r="A42" s="6" t="s">
        <v>66</v>
      </c>
      <c r="B42" s="6" t="s">
        <v>67</v>
      </c>
      <c r="C42" s="8" t="s">
        <v>74</v>
      </c>
      <c r="D42" s="12" t="s">
        <v>35</v>
      </c>
      <c r="E42" s="12" t="s">
        <v>69</v>
      </c>
      <c r="F42" s="12" t="s">
        <v>18</v>
      </c>
    </row>
    <row r="43" spans="1:6" ht="20.100000000000001" hidden="1" customHeight="1" x14ac:dyDescent="0.25">
      <c r="A43" s="6" t="s">
        <v>58</v>
      </c>
      <c r="B43" s="6" t="s">
        <v>7</v>
      </c>
      <c r="C43" s="8" t="s">
        <v>75</v>
      </c>
      <c r="D43" s="12" t="s">
        <v>60</v>
      </c>
      <c r="E43" s="12" t="s">
        <v>23</v>
      </c>
      <c r="F43" s="12" t="s">
        <v>18</v>
      </c>
    </row>
    <row r="44" spans="1:6" ht="20.100000000000001" hidden="1" customHeight="1" x14ac:dyDescent="0.25">
      <c r="A44" s="6" t="s">
        <v>58</v>
      </c>
      <c r="B44" s="6" t="s">
        <v>7</v>
      </c>
      <c r="C44" s="8" t="s">
        <v>76</v>
      </c>
      <c r="D44" s="12" t="s">
        <v>60</v>
      </c>
      <c r="E44" s="12" t="s">
        <v>23</v>
      </c>
      <c r="F44" s="12" t="s">
        <v>11</v>
      </c>
    </row>
    <row r="45" spans="1:6" ht="20.100000000000001" hidden="1" customHeight="1" x14ac:dyDescent="0.25">
      <c r="A45" s="6" t="s">
        <v>58</v>
      </c>
      <c r="B45" s="6" t="s">
        <v>7</v>
      </c>
      <c r="C45" s="8" t="s">
        <v>77</v>
      </c>
      <c r="D45" s="12" t="s">
        <v>60</v>
      </c>
      <c r="E45" s="12" t="s">
        <v>23</v>
      </c>
      <c r="F45" s="12" t="s">
        <v>11</v>
      </c>
    </row>
    <row r="46" spans="1:6" ht="20.100000000000001" hidden="1" customHeight="1" x14ac:dyDescent="0.25">
      <c r="A46" s="6" t="s">
        <v>78</v>
      </c>
      <c r="B46" s="6" t="s">
        <v>7</v>
      </c>
      <c r="C46" s="8" t="s">
        <v>79</v>
      </c>
      <c r="D46" s="12" t="s">
        <v>55</v>
      </c>
      <c r="E46" s="12" t="s">
        <v>23</v>
      </c>
      <c r="F46" s="12" t="s">
        <v>18</v>
      </c>
    </row>
    <row r="47" spans="1:6" ht="20.100000000000001" hidden="1" customHeight="1" x14ac:dyDescent="0.25">
      <c r="A47" s="6" t="s">
        <v>63</v>
      </c>
      <c r="B47" s="6" t="s">
        <v>47</v>
      </c>
      <c r="C47" s="8" t="s">
        <v>80</v>
      </c>
      <c r="D47" s="12" t="s">
        <v>65</v>
      </c>
      <c r="E47" s="12" t="s">
        <v>49</v>
      </c>
      <c r="F47" s="12" t="s">
        <v>18</v>
      </c>
    </row>
    <row r="48" spans="1:6" ht="20.100000000000001" hidden="1" customHeight="1" x14ac:dyDescent="0.25">
      <c r="A48" s="6" t="s">
        <v>78</v>
      </c>
      <c r="B48" s="6" t="s">
        <v>7</v>
      </c>
      <c r="C48" s="8" t="s">
        <v>81</v>
      </c>
      <c r="D48" s="12" t="s">
        <v>55</v>
      </c>
      <c r="E48" s="12" t="s">
        <v>23</v>
      </c>
      <c r="F48" s="12" t="s">
        <v>11</v>
      </c>
    </row>
    <row r="49" spans="1:6" ht="20.100000000000001" hidden="1" customHeight="1" x14ac:dyDescent="0.25">
      <c r="A49" s="6" t="s">
        <v>78</v>
      </c>
      <c r="B49" s="6" t="s">
        <v>7</v>
      </c>
      <c r="C49" s="8" t="s">
        <v>82</v>
      </c>
      <c r="D49" s="12" t="s">
        <v>55</v>
      </c>
      <c r="E49" s="12" t="s">
        <v>23</v>
      </c>
      <c r="F49" s="12" t="s">
        <v>11</v>
      </c>
    </row>
    <row r="50" spans="1:6" ht="20.100000000000001" hidden="1" customHeight="1" x14ac:dyDescent="0.25">
      <c r="A50" s="6" t="s">
        <v>78</v>
      </c>
      <c r="B50" s="6" t="s">
        <v>7</v>
      </c>
      <c r="C50" s="8" t="s">
        <v>83</v>
      </c>
      <c r="D50" s="12" t="s">
        <v>55</v>
      </c>
      <c r="E50" s="12" t="s">
        <v>23</v>
      </c>
      <c r="F50" s="12" t="s">
        <v>11</v>
      </c>
    </row>
    <row r="51" spans="1:6" ht="20.100000000000001" hidden="1" customHeight="1" x14ac:dyDescent="0.25">
      <c r="A51" s="6" t="s">
        <v>78</v>
      </c>
      <c r="B51" s="6" t="s">
        <v>7</v>
      </c>
      <c r="C51" s="8" t="s">
        <v>84</v>
      </c>
      <c r="D51" s="12" t="s">
        <v>55</v>
      </c>
      <c r="E51" s="12" t="s">
        <v>23</v>
      </c>
      <c r="F51" s="12" t="s">
        <v>11</v>
      </c>
    </row>
    <row r="52" spans="1:6" ht="20.100000000000001" hidden="1" customHeight="1" x14ac:dyDescent="0.25">
      <c r="A52" s="6" t="s">
        <v>85</v>
      </c>
      <c r="B52" s="6" t="s">
        <v>7</v>
      </c>
      <c r="C52" s="8" t="s">
        <v>86</v>
      </c>
      <c r="D52" s="12" t="s">
        <v>87</v>
      </c>
      <c r="E52" s="12" t="s">
        <v>23</v>
      </c>
      <c r="F52" s="12" t="s">
        <v>18</v>
      </c>
    </row>
    <row r="53" spans="1:6" ht="20.100000000000001" hidden="1" customHeight="1" x14ac:dyDescent="0.25">
      <c r="A53" s="6" t="s">
        <v>85</v>
      </c>
      <c r="B53" s="6" t="s">
        <v>7</v>
      </c>
      <c r="C53" s="8" t="s">
        <v>88</v>
      </c>
      <c r="D53" s="12" t="s">
        <v>87</v>
      </c>
      <c r="E53" s="12" t="s">
        <v>23</v>
      </c>
      <c r="F53" s="12" t="s">
        <v>11</v>
      </c>
    </row>
    <row r="54" spans="1:6" ht="20.100000000000001" hidden="1" customHeight="1" x14ac:dyDescent="0.25">
      <c r="A54" s="6" t="s">
        <v>85</v>
      </c>
      <c r="B54" s="6" t="s">
        <v>7</v>
      </c>
      <c r="C54" s="8" t="s">
        <v>89</v>
      </c>
      <c r="D54" s="12" t="s">
        <v>87</v>
      </c>
      <c r="E54" s="12" t="s">
        <v>23</v>
      </c>
      <c r="F54" s="12" t="s">
        <v>11</v>
      </c>
    </row>
    <row r="55" spans="1:6" ht="20.100000000000001" hidden="1" customHeight="1" x14ac:dyDescent="0.25">
      <c r="A55" s="6" t="s">
        <v>85</v>
      </c>
      <c r="B55" s="6" t="s">
        <v>7</v>
      </c>
      <c r="C55" s="8" t="s">
        <v>90</v>
      </c>
      <c r="D55" s="12" t="s">
        <v>22</v>
      </c>
      <c r="E55" s="12" t="s">
        <v>23</v>
      </c>
      <c r="F55" s="12" t="s">
        <v>11</v>
      </c>
    </row>
    <row r="56" spans="1:6" ht="20.100000000000001" hidden="1" customHeight="1" x14ac:dyDescent="0.25">
      <c r="A56" s="6" t="s">
        <v>85</v>
      </c>
      <c r="B56" s="6" t="s">
        <v>7</v>
      </c>
      <c r="C56" s="8" t="s">
        <v>91</v>
      </c>
      <c r="D56" s="12" t="s">
        <v>87</v>
      </c>
      <c r="E56" s="12" t="s">
        <v>23</v>
      </c>
      <c r="F56" s="12" t="s">
        <v>11</v>
      </c>
    </row>
    <row r="57" spans="1:6" ht="20.100000000000001" hidden="1" customHeight="1" x14ac:dyDescent="0.25">
      <c r="A57" s="6" t="s">
        <v>92</v>
      </c>
      <c r="B57" s="6" t="s">
        <v>7</v>
      </c>
      <c r="C57" s="8" t="s">
        <v>93</v>
      </c>
      <c r="D57" s="12" t="s">
        <v>94</v>
      </c>
      <c r="E57" s="12" t="s">
        <v>23</v>
      </c>
      <c r="F57" s="12" t="s">
        <v>18</v>
      </c>
    </row>
    <row r="58" spans="1:6" ht="20.100000000000001" hidden="1" customHeight="1" x14ac:dyDescent="0.25">
      <c r="A58" s="6" t="s">
        <v>92</v>
      </c>
      <c r="B58" s="6" t="s">
        <v>7</v>
      </c>
      <c r="C58" s="8" t="s">
        <v>95</v>
      </c>
      <c r="D58" s="12" t="s">
        <v>94</v>
      </c>
      <c r="E58" s="12" t="s">
        <v>23</v>
      </c>
      <c r="F58" s="12" t="s">
        <v>11</v>
      </c>
    </row>
    <row r="59" spans="1:6" ht="20.100000000000001" hidden="1" customHeight="1" x14ac:dyDescent="0.25">
      <c r="A59" s="6" t="s">
        <v>92</v>
      </c>
      <c r="B59" s="6" t="s">
        <v>7</v>
      </c>
      <c r="C59" s="8" t="s">
        <v>96</v>
      </c>
      <c r="D59" s="12" t="s">
        <v>94</v>
      </c>
      <c r="E59" s="12" t="s">
        <v>23</v>
      </c>
      <c r="F59" s="12" t="s">
        <v>11</v>
      </c>
    </row>
    <row r="60" spans="1:6" ht="20.100000000000001" hidden="1" customHeight="1" x14ac:dyDescent="0.25">
      <c r="A60" s="6" t="s">
        <v>92</v>
      </c>
      <c r="B60" s="6" t="s">
        <v>7</v>
      </c>
      <c r="C60" s="8" t="s">
        <v>97</v>
      </c>
      <c r="D60" s="12" t="s">
        <v>94</v>
      </c>
      <c r="E60" s="12" t="s">
        <v>23</v>
      </c>
      <c r="F60" s="12" t="s">
        <v>11</v>
      </c>
    </row>
    <row r="61" spans="1:6" ht="20.100000000000001" hidden="1" customHeight="1" x14ac:dyDescent="0.25">
      <c r="A61" s="6" t="s">
        <v>92</v>
      </c>
      <c r="B61" s="6" t="s">
        <v>7</v>
      </c>
      <c r="C61" s="8" t="s">
        <v>98</v>
      </c>
      <c r="D61" s="12" t="s">
        <v>94</v>
      </c>
      <c r="E61" s="12" t="s">
        <v>23</v>
      </c>
      <c r="F61" s="12" t="s">
        <v>11</v>
      </c>
    </row>
    <row r="62" spans="1:6" s="17" customFormat="1" ht="20.100000000000001" hidden="1" customHeight="1" x14ac:dyDescent="0.25">
      <c r="A62" s="10"/>
      <c r="B62" s="10"/>
      <c r="C62" s="15"/>
      <c r="D62" s="16"/>
      <c r="E62" s="16"/>
      <c r="F62" s="16"/>
    </row>
  </sheetData>
  <autoFilter ref="A1:F62" xr:uid="{735FDC41-C1AF-4446-86C8-3A6D61D48C15}">
    <filterColumn colId="3">
      <filters>
        <filter val="Ceasa"/>
      </filters>
    </filterColumn>
    <filterColumn colId="4">
      <filters>
        <filter val="Fiat"/>
      </filters>
    </filterColumn>
  </autoFilter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2B06-871F-41DF-96E7-5858B729E00D}">
  <sheetPr>
    <pageSetUpPr fitToPage="1"/>
  </sheetPr>
  <dimension ref="B2:AG58"/>
  <sheetViews>
    <sheetView showGridLines="0" tabSelected="1" zoomScale="110" zoomScaleNormal="110" workbookViewId="0">
      <selection activeCell="L11" sqref="L11"/>
    </sheetView>
  </sheetViews>
  <sheetFormatPr defaultRowHeight="14.4" x14ac:dyDescent="0.3"/>
  <cols>
    <col min="1" max="1" width="2.33203125" customWidth="1"/>
    <col min="2" max="2" width="33.109375" bestFit="1" customWidth="1"/>
    <col min="3" max="3" width="15.33203125" bestFit="1" customWidth="1"/>
    <col min="4" max="4" width="10.5546875" bestFit="1" customWidth="1"/>
    <col min="5" max="5" width="11.33203125" customWidth="1"/>
    <col min="6" max="6" width="12" customWidth="1"/>
    <col min="7" max="7" width="10.5546875" hidden="1" customWidth="1"/>
    <col min="8" max="8" width="16.6640625" style="31" hidden="1" customWidth="1"/>
    <col min="9" max="9" width="9.6640625" hidden="1" customWidth="1"/>
    <col min="10" max="10" width="15.44140625" style="31" hidden="1" customWidth="1"/>
    <col min="11" max="11" width="16.6640625" style="31" hidden="1" customWidth="1"/>
    <col min="12" max="12" width="16.6640625" style="31" customWidth="1"/>
    <col min="13" max="14" width="11.88671875" customWidth="1"/>
    <col min="15" max="15" width="16.6640625" style="31" customWidth="1"/>
    <col min="16" max="16" width="10.6640625" customWidth="1"/>
    <col min="17" max="17" width="16.6640625" style="31" customWidth="1"/>
    <col min="18" max="19" width="18.33203125" style="31" customWidth="1"/>
    <col min="20" max="21" width="11.88671875" customWidth="1"/>
    <col min="22" max="22" width="18.33203125" style="31" customWidth="1"/>
    <col min="23" max="23" width="10.6640625" customWidth="1"/>
    <col min="24" max="24" width="16.6640625" style="31" customWidth="1"/>
    <col min="25" max="26" width="18.33203125" style="31" customWidth="1"/>
    <col min="27" max="28" width="9.6640625" style="31" customWidth="1"/>
    <col min="29" max="29" width="18.33203125" style="31" bestFit="1" customWidth="1"/>
    <col min="30" max="30" width="8.44140625" style="31" customWidth="1"/>
    <col min="31" max="31" width="16.6640625" style="31" bestFit="1" customWidth="1"/>
    <col min="32" max="32" width="18.33203125" style="31" bestFit="1" customWidth="1"/>
    <col min="33" max="33" width="18.33203125" bestFit="1" customWidth="1"/>
  </cols>
  <sheetData>
    <row r="2" spans="2:33" x14ac:dyDescent="0.3">
      <c r="B2" s="62" t="s">
        <v>121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</row>
    <row r="3" spans="2:33" ht="5.4" customHeight="1" x14ac:dyDescent="0.3"/>
    <row r="4" spans="2:33" x14ac:dyDescent="0.3">
      <c r="G4" s="21" t="s">
        <v>106</v>
      </c>
      <c r="H4" s="21"/>
      <c r="I4" s="21"/>
      <c r="J4" s="21"/>
      <c r="K4" s="21"/>
      <c r="L4" s="80" t="s">
        <v>107</v>
      </c>
      <c r="M4" s="80"/>
      <c r="N4" s="80"/>
      <c r="O4" s="80"/>
      <c r="P4" s="80"/>
      <c r="Q4" s="80"/>
      <c r="R4" s="80"/>
      <c r="S4" s="80" t="s">
        <v>108</v>
      </c>
      <c r="T4" s="80"/>
      <c r="U4" s="80"/>
      <c r="V4" s="80"/>
      <c r="W4" s="80"/>
      <c r="X4" s="80"/>
      <c r="Y4" s="80"/>
      <c r="Z4" s="80" t="s">
        <v>116</v>
      </c>
      <c r="AA4" s="80"/>
      <c r="AB4" s="80"/>
      <c r="AC4" s="80"/>
      <c r="AD4" s="80"/>
      <c r="AE4" s="80"/>
      <c r="AF4" s="80"/>
      <c r="AG4" s="34"/>
    </row>
    <row r="5" spans="2:33" x14ac:dyDescent="0.3">
      <c r="B5" s="20" t="s">
        <v>101</v>
      </c>
      <c r="C5" s="20" t="s">
        <v>3</v>
      </c>
      <c r="D5" s="20" t="s">
        <v>4</v>
      </c>
      <c r="E5" s="21" t="s">
        <v>102</v>
      </c>
      <c r="F5" s="22" t="s">
        <v>100</v>
      </c>
      <c r="G5" s="21" t="s">
        <v>109</v>
      </c>
      <c r="H5" s="25" t="s">
        <v>103</v>
      </c>
      <c r="I5" s="21" t="s">
        <v>110</v>
      </c>
      <c r="J5" s="23" t="s">
        <v>104</v>
      </c>
      <c r="K5" s="23" t="s">
        <v>105</v>
      </c>
      <c r="L5" s="22" t="s">
        <v>122</v>
      </c>
      <c r="M5" s="21" t="s">
        <v>99</v>
      </c>
      <c r="N5" s="21" t="s">
        <v>123</v>
      </c>
      <c r="O5" s="25" t="s">
        <v>103</v>
      </c>
      <c r="P5" s="21" t="s">
        <v>100</v>
      </c>
      <c r="Q5" s="23" t="s">
        <v>104</v>
      </c>
      <c r="R5" s="23" t="s">
        <v>105</v>
      </c>
      <c r="S5" s="22" t="s">
        <v>122</v>
      </c>
      <c r="T5" s="21" t="s">
        <v>99</v>
      </c>
      <c r="U5" s="21" t="s">
        <v>123</v>
      </c>
      <c r="V5" s="25" t="s">
        <v>103</v>
      </c>
      <c r="W5" s="21" t="s">
        <v>100</v>
      </c>
      <c r="X5" s="23" t="s">
        <v>104</v>
      </c>
      <c r="Y5" s="23" t="s">
        <v>105</v>
      </c>
      <c r="Z5" s="22" t="s">
        <v>122</v>
      </c>
      <c r="AA5" s="21" t="s">
        <v>99</v>
      </c>
      <c r="AB5" s="21" t="s">
        <v>123</v>
      </c>
      <c r="AC5" s="25" t="s">
        <v>103</v>
      </c>
      <c r="AD5" s="21" t="s">
        <v>100</v>
      </c>
      <c r="AE5" s="23" t="s">
        <v>104</v>
      </c>
      <c r="AF5" s="23" t="s">
        <v>105</v>
      </c>
      <c r="AG5" s="23" t="s">
        <v>113</v>
      </c>
    </row>
    <row r="6" spans="2:33" x14ac:dyDescent="0.3">
      <c r="B6" s="28" t="s">
        <v>42</v>
      </c>
      <c r="C6" s="27" t="s">
        <v>35</v>
      </c>
      <c r="D6" s="27" t="s">
        <v>10</v>
      </c>
      <c r="E6" s="24">
        <v>168.9</v>
      </c>
      <c r="F6" s="24">
        <v>98.9</v>
      </c>
      <c r="G6" s="36">
        <v>40</v>
      </c>
      <c r="H6" s="37">
        <f t="shared" ref="H6:H49" si="0">E6*G6</f>
        <v>6756</v>
      </c>
      <c r="I6" s="36">
        <v>0</v>
      </c>
      <c r="J6" s="37">
        <f>I6*F6</f>
        <v>0</v>
      </c>
      <c r="K6" s="37">
        <f t="shared" ref="K6:K49" si="1">J6+H6</f>
        <v>6756</v>
      </c>
      <c r="L6" s="44">
        <v>126</v>
      </c>
      <c r="M6" s="44">
        <v>102</v>
      </c>
      <c r="N6" s="64">
        <f>M6/L6</f>
        <v>0.80952380952380953</v>
      </c>
      <c r="O6" s="45">
        <f t="shared" ref="O6:O49" si="2">M6*E6</f>
        <v>17227.8</v>
      </c>
      <c r="P6" s="44">
        <v>0</v>
      </c>
      <c r="Q6" s="46">
        <f t="shared" ref="Q6:Q49" si="3">P6*F6</f>
        <v>0</v>
      </c>
      <c r="R6" s="46">
        <f t="shared" ref="R6:R37" si="4">Q6+O6</f>
        <v>17227.8</v>
      </c>
      <c r="S6" s="49">
        <v>189</v>
      </c>
      <c r="T6" s="49">
        <v>107</v>
      </c>
      <c r="U6" s="66">
        <v>0.56613756613756616</v>
      </c>
      <c r="V6" s="50">
        <f t="shared" ref="V6:V49" si="5">T6*E6</f>
        <v>18072.3</v>
      </c>
      <c r="W6" s="49">
        <v>0</v>
      </c>
      <c r="X6" s="51">
        <f t="shared" ref="X6:X49" si="6">W6*F6</f>
        <v>0</v>
      </c>
      <c r="Y6" s="51">
        <f t="shared" ref="Y6:Y49" si="7">X6+V6</f>
        <v>18072.3</v>
      </c>
      <c r="Z6" s="54">
        <v>158</v>
      </c>
      <c r="AA6" s="54">
        <v>105</v>
      </c>
      <c r="AB6" s="68">
        <v>0.66455696202531644</v>
      </c>
      <c r="AC6" s="55">
        <f t="shared" ref="AC6:AC37" si="8">AA6*E6</f>
        <v>17734.5</v>
      </c>
      <c r="AD6" s="54">
        <v>28</v>
      </c>
      <c r="AE6" s="56">
        <f t="shared" ref="AE6:AE53" si="9">AD6*F6</f>
        <v>2769.2000000000003</v>
      </c>
      <c r="AF6" s="56">
        <f t="shared" ref="AF6:AF37" si="10">AE6+AC6</f>
        <v>20503.7</v>
      </c>
      <c r="AG6" s="38">
        <f t="shared" ref="AG6:AG37" si="11">AF6+Y6+R6</f>
        <v>55803.8</v>
      </c>
    </row>
    <row r="7" spans="2:33" x14ac:dyDescent="0.3">
      <c r="B7" s="26" t="s">
        <v>51</v>
      </c>
      <c r="C7" s="32" t="s">
        <v>35</v>
      </c>
      <c r="D7" s="32" t="s">
        <v>49</v>
      </c>
      <c r="E7" s="24">
        <v>168.9</v>
      </c>
      <c r="F7" s="24">
        <v>98.9</v>
      </c>
      <c r="G7" s="36">
        <v>36</v>
      </c>
      <c r="H7" s="37">
        <f t="shared" si="0"/>
        <v>6080.4000000000005</v>
      </c>
      <c r="I7" s="36">
        <v>31</v>
      </c>
      <c r="J7" s="37">
        <f>I7*F7</f>
        <v>3065.9</v>
      </c>
      <c r="K7" s="37">
        <f t="shared" si="1"/>
        <v>9146.3000000000011</v>
      </c>
      <c r="L7" s="44">
        <v>148</v>
      </c>
      <c r="M7" s="44">
        <v>58</v>
      </c>
      <c r="N7" s="64">
        <f t="shared" ref="N7:N57" si="12">M7/L7</f>
        <v>0.39189189189189189</v>
      </c>
      <c r="O7" s="45">
        <f t="shared" si="2"/>
        <v>9796.2000000000007</v>
      </c>
      <c r="P7" s="44">
        <v>50</v>
      </c>
      <c r="Q7" s="46">
        <f t="shared" si="3"/>
        <v>4945</v>
      </c>
      <c r="R7" s="46">
        <f t="shared" si="4"/>
        <v>14741.2</v>
      </c>
      <c r="S7" s="49">
        <v>121</v>
      </c>
      <c r="T7" s="49">
        <v>59</v>
      </c>
      <c r="U7" s="66">
        <v>0.48760330578512395</v>
      </c>
      <c r="V7" s="50">
        <f t="shared" si="5"/>
        <v>9965.1</v>
      </c>
      <c r="W7" s="49">
        <v>52</v>
      </c>
      <c r="X7" s="51">
        <f t="shared" si="6"/>
        <v>5142.8</v>
      </c>
      <c r="Y7" s="51">
        <f t="shared" si="7"/>
        <v>15107.900000000001</v>
      </c>
      <c r="Z7" s="54">
        <v>212</v>
      </c>
      <c r="AA7" s="54">
        <v>36</v>
      </c>
      <c r="AB7" s="68">
        <v>0.16981132075471697</v>
      </c>
      <c r="AC7" s="55">
        <f t="shared" si="8"/>
        <v>6080.4000000000005</v>
      </c>
      <c r="AD7" s="54">
        <v>31</v>
      </c>
      <c r="AE7" s="56">
        <f t="shared" si="9"/>
        <v>3065.9</v>
      </c>
      <c r="AF7" s="56">
        <f t="shared" si="10"/>
        <v>9146.3000000000011</v>
      </c>
      <c r="AG7" s="38">
        <f t="shared" si="11"/>
        <v>38995.400000000009</v>
      </c>
    </row>
    <row r="8" spans="2:33" x14ac:dyDescent="0.3">
      <c r="B8" s="28" t="s">
        <v>39</v>
      </c>
      <c r="C8" s="27" t="s">
        <v>35</v>
      </c>
      <c r="D8" s="27" t="s">
        <v>23</v>
      </c>
      <c r="E8" s="24">
        <v>197.9</v>
      </c>
      <c r="F8" s="24">
        <v>118.9</v>
      </c>
      <c r="G8" s="36">
        <v>26</v>
      </c>
      <c r="H8" s="35">
        <f t="shared" si="0"/>
        <v>5145.4000000000005</v>
      </c>
      <c r="I8" s="36">
        <v>14</v>
      </c>
      <c r="J8" s="37">
        <f>F8*I8</f>
        <v>1664.6000000000001</v>
      </c>
      <c r="K8" s="37">
        <f t="shared" si="1"/>
        <v>6810.0000000000009</v>
      </c>
      <c r="L8" s="44">
        <v>178</v>
      </c>
      <c r="M8" s="44">
        <v>42</v>
      </c>
      <c r="N8" s="64">
        <f t="shared" si="12"/>
        <v>0.23595505617977527</v>
      </c>
      <c r="O8" s="45">
        <f t="shared" si="2"/>
        <v>8311.8000000000011</v>
      </c>
      <c r="P8" s="44">
        <v>32</v>
      </c>
      <c r="Q8" s="46">
        <f t="shared" si="3"/>
        <v>3804.8</v>
      </c>
      <c r="R8" s="46">
        <f t="shared" si="4"/>
        <v>12116.600000000002</v>
      </c>
      <c r="S8" s="49">
        <v>180</v>
      </c>
      <c r="T8" s="49">
        <v>33</v>
      </c>
      <c r="U8" s="66">
        <v>0.18333333333333332</v>
      </c>
      <c r="V8" s="50">
        <f t="shared" si="5"/>
        <v>6530.7</v>
      </c>
      <c r="W8" s="49">
        <v>29</v>
      </c>
      <c r="X8" s="51">
        <f t="shared" si="6"/>
        <v>3448.1000000000004</v>
      </c>
      <c r="Y8" s="51">
        <f t="shared" si="7"/>
        <v>9978.7999999999993</v>
      </c>
      <c r="Z8" s="54">
        <v>232</v>
      </c>
      <c r="AA8" s="54">
        <v>50</v>
      </c>
      <c r="AB8" s="68">
        <v>0.21551724137931033</v>
      </c>
      <c r="AC8" s="55">
        <f t="shared" si="8"/>
        <v>9895</v>
      </c>
      <c r="AD8" s="54">
        <v>33</v>
      </c>
      <c r="AE8" s="56">
        <f t="shared" si="9"/>
        <v>3923.7000000000003</v>
      </c>
      <c r="AF8" s="56">
        <f t="shared" si="10"/>
        <v>13818.7</v>
      </c>
      <c r="AG8" s="38">
        <f t="shared" si="11"/>
        <v>35914.100000000006</v>
      </c>
    </row>
    <row r="9" spans="2:33" x14ac:dyDescent="0.3">
      <c r="B9" s="26" t="s">
        <v>61</v>
      </c>
      <c r="C9" s="32" t="s">
        <v>35</v>
      </c>
      <c r="D9" s="32" t="s">
        <v>49</v>
      </c>
      <c r="E9" s="24">
        <v>168.9</v>
      </c>
      <c r="F9" s="24">
        <v>98.9</v>
      </c>
      <c r="G9" s="36">
        <v>8</v>
      </c>
      <c r="H9" s="37">
        <f t="shared" si="0"/>
        <v>1351.2</v>
      </c>
      <c r="I9" s="36">
        <v>8</v>
      </c>
      <c r="J9" s="37">
        <f>I9*F9</f>
        <v>791.2</v>
      </c>
      <c r="K9" s="37">
        <f t="shared" si="1"/>
        <v>2142.4</v>
      </c>
      <c r="L9" s="44">
        <v>107</v>
      </c>
      <c r="M9" s="44">
        <v>48</v>
      </c>
      <c r="N9" s="64">
        <f t="shared" si="12"/>
        <v>0.44859813084112149</v>
      </c>
      <c r="O9" s="45">
        <f t="shared" si="2"/>
        <v>8107.2000000000007</v>
      </c>
      <c r="P9" s="44">
        <v>38</v>
      </c>
      <c r="Q9" s="46">
        <f t="shared" si="3"/>
        <v>3758.2000000000003</v>
      </c>
      <c r="R9" s="46">
        <f t="shared" si="4"/>
        <v>11865.400000000001</v>
      </c>
      <c r="S9" s="49">
        <v>135</v>
      </c>
      <c r="T9" s="49">
        <v>38</v>
      </c>
      <c r="U9" s="66">
        <v>0.2814814814814815</v>
      </c>
      <c r="V9" s="50">
        <f t="shared" si="5"/>
        <v>6418.2</v>
      </c>
      <c r="W9" s="49">
        <v>30</v>
      </c>
      <c r="X9" s="51">
        <f t="shared" si="6"/>
        <v>2967</v>
      </c>
      <c r="Y9" s="51">
        <f t="shared" si="7"/>
        <v>9385.2000000000007</v>
      </c>
      <c r="Z9" s="54">
        <v>180</v>
      </c>
      <c r="AA9" s="54">
        <v>38</v>
      </c>
      <c r="AB9" s="68">
        <v>0.21111111111111111</v>
      </c>
      <c r="AC9" s="55">
        <f t="shared" si="8"/>
        <v>6418.2</v>
      </c>
      <c r="AD9" s="54">
        <v>31</v>
      </c>
      <c r="AE9" s="56">
        <f t="shared" si="9"/>
        <v>3065.9</v>
      </c>
      <c r="AF9" s="56">
        <f t="shared" si="10"/>
        <v>9484.1</v>
      </c>
      <c r="AG9" s="38">
        <f t="shared" si="11"/>
        <v>30734.700000000004</v>
      </c>
    </row>
    <row r="10" spans="2:33" x14ac:dyDescent="0.3">
      <c r="B10" s="26" t="s">
        <v>34</v>
      </c>
      <c r="C10" s="27" t="s">
        <v>35</v>
      </c>
      <c r="D10" s="27" t="s">
        <v>23</v>
      </c>
      <c r="E10" s="35">
        <v>197.9</v>
      </c>
      <c r="F10" s="35">
        <v>118.9</v>
      </c>
      <c r="G10" s="36">
        <v>26</v>
      </c>
      <c r="H10" s="35">
        <f t="shared" si="0"/>
        <v>5145.4000000000005</v>
      </c>
      <c r="I10" s="36">
        <v>16</v>
      </c>
      <c r="J10" s="37">
        <f>F10*I10</f>
        <v>1902.4</v>
      </c>
      <c r="K10" s="37">
        <f t="shared" si="1"/>
        <v>7047.8000000000011</v>
      </c>
      <c r="L10" s="44">
        <v>158</v>
      </c>
      <c r="M10" s="44">
        <v>46</v>
      </c>
      <c r="N10" s="64">
        <f t="shared" si="12"/>
        <v>0.29113924050632911</v>
      </c>
      <c r="O10" s="45">
        <f t="shared" si="2"/>
        <v>9103.4</v>
      </c>
      <c r="P10" s="44">
        <v>37</v>
      </c>
      <c r="Q10" s="46">
        <f t="shared" si="3"/>
        <v>4399.3</v>
      </c>
      <c r="R10" s="46">
        <f t="shared" si="4"/>
        <v>13502.7</v>
      </c>
      <c r="S10" s="49">
        <v>161</v>
      </c>
      <c r="T10" s="49">
        <v>30</v>
      </c>
      <c r="U10" s="66">
        <v>0.18633540372670807</v>
      </c>
      <c r="V10" s="50">
        <f t="shared" si="5"/>
        <v>5937</v>
      </c>
      <c r="W10" s="49">
        <v>22</v>
      </c>
      <c r="X10" s="51">
        <f t="shared" si="6"/>
        <v>2615.8000000000002</v>
      </c>
      <c r="Y10" s="51">
        <f t="shared" si="7"/>
        <v>8552.7999999999993</v>
      </c>
      <c r="Z10" s="54">
        <v>229</v>
      </c>
      <c r="AA10" s="54">
        <v>22</v>
      </c>
      <c r="AB10" s="68">
        <v>9.606986899563319E-2</v>
      </c>
      <c r="AC10" s="55">
        <f t="shared" si="8"/>
        <v>4353.8</v>
      </c>
      <c r="AD10" s="54">
        <v>16</v>
      </c>
      <c r="AE10" s="56">
        <f t="shared" si="9"/>
        <v>1902.4</v>
      </c>
      <c r="AF10" s="56">
        <f t="shared" si="10"/>
        <v>6256.2000000000007</v>
      </c>
      <c r="AG10" s="38">
        <f t="shared" si="11"/>
        <v>28311.7</v>
      </c>
    </row>
    <row r="11" spans="2:33" x14ac:dyDescent="0.3">
      <c r="B11" s="26" t="s">
        <v>37</v>
      </c>
      <c r="C11" s="27" t="s">
        <v>35</v>
      </c>
      <c r="D11" s="27" t="s">
        <v>23</v>
      </c>
      <c r="E11" s="24">
        <v>197.9</v>
      </c>
      <c r="F11" s="24">
        <v>118.9</v>
      </c>
      <c r="G11" s="36">
        <v>19</v>
      </c>
      <c r="H11" s="35">
        <f t="shared" si="0"/>
        <v>3760.1</v>
      </c>
      <c r="I11" s="36">
        <v>13</v>
      </c>
      <c r="J11" s="37">
        <f>F11*I11</f>
        <v>1545.7</v>
      </c>
      <c r="K11" s="37">
        <f t="shared" si="1"/>
        <v>5305.8</v>
      </c>
      <c r="L11" s="44">
        <v>136</v>
      </c>
      <c r="M11" s="44">
        <v>39</v>
      </c>
      <c r="N11" s="64">
        <f t="shared" si="12"/>
        <v>0.28676470588235292</v>
      </c>
      <c r="O11" s="45">
        <f t="shared" si="2"/>
        <v>7718.1</v>
      </c>
      <c r="P11" s="44">
        <v>32</v>
      </c>
      <c r="Q11" s="46">
        <f t="shared" si="3"/>
        <v>3804.8</v>
      </c>
      <c r="R11" s="46">
        <f t="shared" si="4"/>
        <v>11522.900000000001</v>
      </c>
      <c r="S11" s="49">
        <v>138</v>
      </c>
      <c r="T11" s="49">
        <v>30</v>
      </c>
      <c r="U11" s="66">
        <v>0.21739130434782608</v>
      </c>
      <c r="V11" s="50">
        <f t="shared" si="5"/>
        <v>5937</v>
      </c>
      <c r="W11" s="49">
        <v>24</v>
      </c>
      <c r="X11" s="51">
        <f t="shared" si="6"/>
        <v>2853.6000000000004</v>
      </c>
      <c r="Y11" s="51">
        <f t="shared" si="7"/>
        <v>8790.6</v>
      </c>
      <c r="Z11" s="54">
        <v>178</v>
      </c>
      <c r="AA11" s="54">
        <v>25</v>
      </c>
      <c r="AB11" s="68">
        <v>0.1404494382022472</v>
      </c>
      <c r="AC11" s="55">
        <f t="shared" si="8"/>
        <v>4947.5</v>
      </c>
      <c r="AD11" s="54">
        <v>22</v>
      </c>
      <c r="AE11" s="56">
        <f t="shared" si="9"/>
        <v>2615.8000000000002</v>
      </c>
      <c r="AF11" s="56">
        <f t="shared" si="10"/>
        <v>7563.3</v>
      </c>
      <c r="AG11" s="38">
        <f t="shared" si="11"/>
        <v>27876.800000000003</v>
      </c>
    </row>
    <row r="12" spans="2:33" x14ac:dyDescent="0.3">
      <c r="B12" s="30" t="s">
        <v>25</v>
      </c>
      <c r="C12" s="27" t="s">
        <v>22</v>
      </c>
      <c r="D12" s="27" t="s">
        <v>23</v>
      </c>
      <c r="E12" s="24">
        <v>197.9</v>
      </c>
      <c r="F12" s="24">
        <v>118.9</v>
      </c>
      <c r="G12" s="36">
        <v>15</v>
      </c>
      <c r="H12" s="35">
        <f t="shared" si="0"/>
        <v>2968.5</v>
      </c>
      <c r="I12" s="36">
        <v>8</v>
      </c>
      <c r="J12" s="37">
        <f>F12*I12</f>
        <v>951.2</v>
      </c>
      <c r="K12" s="37">
        <f t="shared" si="1"/>
        <v>3919.7</v>
      </c>
      <c r="L12" s="44">
        <v>127</v>
      </c>
      <c r="M12" s="44">
        <v>42</v>
      </c>
      <c r="N12" s="64">
        <f t="shared" si="12"/>
        <v>0.33070866141732286</v>
      </c>
      <c r="O12" s="45">
        <f t="shared" si="2"/>
        <v>8311.8000000000011</v>
      </c>
      <c r="P12" s="44">
        <v>18</v>
      </c>
      <c r="Q12" s="46">
        <f t="shared" si="3"/>
        <v>2140.2000000000003</v>
      </c>
      <c r="R12" s="46">
        <f t="shared" si="4"/>
        <v>10452.000000000002</v>
      </c>
      <c r="S12" s="49">
        <v>125</v>
      </c>
      <c r="T12" s="49">
        <v>23</v>
      </c>
      <c r="U12" s="66">
        <v>0.184</v>
      </c>
      <c r="V12" s="50">
        <f t="shared" si="5"/>
        <v>4551.7</v>
      </c>
      <c r="W12" s="49">
        <v>20</v>
      </c>
      <c r="X12" s="51">
        <f t="shared" si="6"/>
        <v>2378</v>
      </c>
      <c r="Y12" s="51">
        <f t="shared" si="7"/>
        <v>6929.7</v>
      </c>
      <c r="Z12" s="54">
        <v>141</v>
      </c>
      <c r="AA12" s="60">
        <v>32</v>
      </c>
      <c r="AB12" s="68">
        <v>0.22695035460992907</v>
      </c>
      <c r="AC12" s="55">
        <f t="shared" si="8"/>
        <v>6332.8</v>
      </c>
      <c r="AD12" s="54">
        <v>27</v>
      </c>
      <c r="AE12" s="56">
        <f t="shared" si="9"/>
        <v>3210.3</v>
      </c>
      <c r="AF12" s="56">
        <f t="shared" si="10"/>
        <v>9543.1</v>
      </c>
      <c r="AG12" s="38">
        <f t="shared" si="11"/>
        <v>26924.800000000003</v>
      </c>
    </row>
    <row r="13" spans="2:33" x14ac:dyDescent="0.3">
      <c r="B13" s="29" t="s">
        <v>12</v>
      </c>
      <c r="C13" s="32" t="s">
        <v>9</v>
      </c>
      <c r="D13" s="32" t="s">
        <v>10</v>
      </c>
      <c r="E13" s="24">
        <v>168.9</v>
      </c>
      <c r="F13" s="24">
        <v>98.9</v>
      </c>
      <c r="G13" s="36">
        <v>3</v>
      </c>
      <c r="H13" s="37">
        <f t="shared" si="0"/>
        <v>506.70000000000005</v>
      </c>
      <c r="I13" s="36">
        <v>3</v>
      </c>
      <c r="J13" s="37">
        <f>I13*F13</f>
        <v>296.70000000000005</v>
      </c>
      <c r="K13" s="37">
        <f t="shared" si="1"/>
        <v>803.40000000000009</v>
      </c>
      <c r="L13" s="44">
        <v>129</v>
      </c>
      <c r="M13" s="44">
        <v>43</v>
      </c>
      <c r="N13" s="64">
        <f t="shared" si="12"/>
        <v>0.33333333333333331</v>
      </c>
      <c r="O13" s="45">
        <f t="shared" si="2"/>
        <v>7262.7</v>
      </c>
      <c r="P13" s="44">
        <v>9</v>
      </c>
      <c r="Q13" s="46">
        <f t="shared" si="3"/>
        <v>890.1</v>
      </c>
      <c r="R13" s="46">
        <f t="shared" si="4"/>
        <v>8152.8</v>
      </c>
      <c r="S13" s="49">
        <v>128</v>
      </c>
      <c r="T13" s="49">
        <v>55</v>
      </c>
      <c r="U13" s="66">
        <v>0.4296875</v>
      </c>
      <c r="V13" s="50">
        <f t="shared" si="5"/>
        <v>9289.5</v>
      </c>
      <c r="W13" s="49">
        <v>22</v>
      </c>
      <c r="X13" s="51">
        <f t="shared" si="6"/>
        <v>2175.8000000000002</v>
      </c>
      <c r="Y13" s="51">
        <f t="shared" si="7"/>
        <v>11465.3</v>
      </c>
      <c r="Z13" s="54">
        <v>235</v>
      </c>
      <c r="AA13" s="54">
        <v>36</v>
      </c>
      <c r="AB13" s="68">
        <v>0.15319148936170213</v>
      </c>
      <c r="AC13" s="55">
        <f t="shared" si="8"/>
        <v>6080.4000000000005</v>
      </c>
      <c r="AD13" s="54">
        <v>7</v>
      </c>
      <c r="AE13" s="56">
        <f t="shared" si="9"/>
        <v>692.30000000000007</v>
      </c>
      <c r="AF13" s="56">
        <f t="shared" si="10"/>
        <v>6772.7000000000007</v>
      </c>
      <c r="AG13" s="38">
        <f t="shared" si="11"/>
        <v>26390.799999999999</v>
      </c>
    </row>
    <row r="14" spans="2:33" x14ac:dyDescent="0.3">
      <c r="B14" s="26" t="s">
        <v>70</v>
      </c>
      <c r="C14" s="32" t="s">
        <v>35</v>
      </c>
      <c r="D14" s="32" t="s">
        <v>69</v>
      </c>
      <c r="E14" s="24">
        <v>168.9</v>
      </c>
      <c r="F14" s="24">
        <v>0</v>
      </c>
      <c r="G14" s="36">
        <v>12</v>
      </c>
      <c r="H14" s="37">
        <f t="shared" si="0"/>
        <v>2026.8000000000002</v>
      </c>
      <c r="I14" s="36">
        <v>0</v>
      </c>
      <c r="J14" s="37">
        <f>I14*F14</f>
        <v>0</v>
      </c>
      <c r="K14" s="37">
        <f t="shared" si="1"/>
        <v>2026.8000000000002</v>
      </c>
      <c r="L14" s="44">
        <v>126</v>
      </c>
      <c r="M14" s="44">
        <v>45</v>
      </c>
      <c r="N14" s="64">
        <f t="shared" si="12"/>
        <v>0.35714285714285715</v>
      </c>
      <c r="O14" s="45">
        <f t="shared" si="2"/>
        <v>7600.5</v>
      </c>
      <c r="P14" s="44"/>
      <c r="Q14" s="46">
        <f t="shared" si="3"/>
        <v>0</v>
      </c>
      <c r="R14" s="46">
        <f t="shared" si="4"/>
        <v>7600.5</v>
      </c>
      <c r="S14" s="49">
        <v>118</v>
      </c>
      <c r="T14" s="49">
        <v>55</v>
      </c>
      <c r="U14" s="66">
        <v>0.46610169491525422</v>
      </c>
      <c r="V14" s="50">
        <f t="shared" si="5"/>
        <v>9289.5</v>
      </c>
      <c r="W14" s="49">
        <v>0</v>
      </c>
      <c r="X14" s="51">
        <f t="shared" si="6"/>
        <v>0</v>
      </c>
      <c r="Y14" s="51">
        <f t="shared" si="7"/>
        <v>9289.5</v>
      </c>
      <c r="Z14" s="54">
        <v>145</v>
      </c>
      <c r="AA14" s="54">
        <v>50</v>
      </c>
      <c r="AB14" s="68">
        <v>0.34482758620689657</v>
      </c>
      <c r="AC14" s="55">
        <f t="shared" si="8"/>
        <v>8445</v>
      </c>
      <c r="AD14" s="54">
        <v>0</v>
      </c>
      <c r="AE14" s="56">
        <f t="shared" si="9"/>
        <v>0</v>
      </c>
      <c r="AF14" s="56">
        <f t="shared" si="10"/>
        <v>8445</v>
      </c>
      <c r="AG14" s="38">
        <f t="shared" si="11"/>
        <v>25335</v>
      </c>
    </row>
    <row r="15" spans="2:33" x14ac:dyDescent="0.3">
      <c r="B15" s="26" t="s">
        <v>27</v>
      </c>
      <c r="C15" s="27" t="s">
        <v>22</v>
      </c>
      <c r="D15" s="27" t="s">
        <v>23</v>
      </c>
      <c r="E15" s="24">
        <v>197.9</v>
      </c>
      <c r="F15" s="24">
        <v>118.9</v>
      </c>
      <c r="G15" s="36">
        <v>32</v>
      </c>
      <c r="H15" s="35">
        <f t="shared" si="0"/>
        <v>6332.8</v>
      </c>
      <c r="I15" s="36">
        <v>0</v>
      </c>
      <c r="J15" s="37">
        <f>F15*I15</f>
        <v>0</v>
      </c>
      <c r="K15" s="37">
        <f t="shared" si="1"/>
        <v>6332.8</v>
      </c>
      <c r="L15" s="44">
        <v>153</v>
      </c>
      <c r="M15" s="44">
        <v>53</v>
      </c>
      <c r="N15" s="64">
        <f t="shared" si="12"/>
        <v>0.34640522875816993</v>
      </c>
      <c r="O15" s="45">
        <f t="shared" si="2"/>
        <v>10488.7</v>
      </c>
      <c r="P15" s="44">
        <v>6</v>
      </c>
      <c r="Q15" s="46">
        <f t="shared" si="3"/>
        <v>713.40000000000009</v>
      </c>
      <c r="R15" s="46">
        <f t="shared" si="4"/>
        <v>11202.1</v>
      </c>
      <c r="S15" s="49">
        <v>117</v>
      </c>
      <c r="T15" s="49">
        <v>34</v>
      </c>
      <c r="U15" s="66">
        <v>0.29059829059829062</v>
      </c>
      <c r="V15" s="50">
        <f t="shared" si="5"/>
        <v>6728.6</v>
      </c>
      <c r="W15" s="49">
        <v>12</v>
      </c>
      <c r="X15" s="51">
        <f t="shared" si="6"/>
        <v>1426.8000000000002</v>
      </c>
      <c r="Y15" s="51">
        <f t="shared" si="7"/>
        <v>8155.4000000000005</v>
      </c>
      <c r="Z15" s="54">
        <v>233</v>
      </c>
      <c r="AA15" s="54">
        <v>27</v>
      </c>
      <c r="AB15" s="68">
        <v>0.11587982832618025</v>
      </c>
      <c r="AC15" s="55">
        <f t="shared" si="8"/>
        <v>5343.3</v>
      </c>
      <c r="AD15" s="54">
        <v>1</v>
      </c>
      <c r="AE15" s="56">
        <f t="shared" si="9"/>
        <v>118.9</v>
      </c>
      <c r="AF15" s="56">
        <f t="shared" si="10"/>
        <v>5462.2</v>
      </c>
      <c r="AG15" s="38">
        <f t="shared" si="11"/>
        <v>24819.7</v>
      </c>
    </row>
    <row r="16" spans="2:33" x14ac:dyDescent="0.3">
      <c r="B16" s="26" t="s">
        <v>59</v>
      </c>
      <c r="C16" s="32" t="s">
        <v>60</v>
      </c>
      <c r="D16" s="32" t="s">
        <v>23</v>
      </c>
      <c r="E16" s="24">
        <v>197.9</v>
      </c>
      <c r="F16" s="24">
        <v>118.9</v>
      </c>
      <c r="G16" s="36">
        <v>6</v>
      </c>
      <c r="H16" s="35">
        <f t="shared" si="0"/>
        <v>1187.4000000000001</v>
      </c>
      <c r="I16" s="36">
        <v>0</v>
      </c>
      <c r="J16" s="37">
        <f>F16*I16</f>
        <v>0</v>
      </c>
      <c r="K16" s="37">
        <f t="shared" si="1"/>
        <v>1187.4000000000001</v>
      </c>
      <c r="L16" s="44">
        <v>178</v>
      </c>
      <c r="M16" s="44">
        <v>32</v>
      </c>
      <c r="N16" s="64">
        <f t="shared" si="12"/>
        <v>0.1797752808988764</v>
      </c>
      <c r="O16" s="45">
        <f t="shared" si="2"/>
        <v>6332.8</v>
      </c>
      <c r="P16" s="44">
        <v>13</v>
      </c>
      <c r="Q16" s="46">
        <f t="shared" si="3"/>
        <v>1545.7</v>
      </c>
      <c r="R16" s="46">
        <f t="shared" si="4"/>
        <v>7878.5</v>
      </c>
      <c r="S16" s="49">
        <v>155</v>
      </c>
      <c r="T16" s="49">
        <v>30</v>
      </c>
      <c r="U16" s="66">
        <v>0.19354838709677419</v>
      </c>
      <c r="V16" s="50">
        <f t="shared" si="5"/>
        <v>5937</v>
      </c>
      <c r="W16" s="49">
        <v>9</v>
      </c>
      <c r="X16" s="51">
        <f t="shared" si="6"/>
        <v>1070.1000000000001</v>
      </c>
      <c r="Y16" s="51">
        <f t="shared" si="7"/>
        <v>7007.1</v>
      </c>
      <c r="Z16" s="54">
        <v>237</v>
      </c>
      <c r="AA16" s="54">
        <v>38</v>
      </c>
      <c r="AB16" s="68">
        <v>0.16033755274261605</v>
      </c>
      <c r="AC16" s="55">
        <f t="shared" si="8"/>
        <v>7520.2</v>
      </c>
      <c r="AD16" s="54">
        <v>9</v>
      </c>
      <c r="AE16" s="56">
        <f t="shared" si="9"/>
        <v>1070.1000000000001</v>
      </c>
      <c r="AF16" s="56">
        <f t="shared" si="10"/>
        <v>8590.2999999999993</v>
      </c>
      <c r="AG16" s="38">
        <f t="shared" si="11"/>
        <v>23475.9</v>
      </c>
    </row>
    <row r="17" spans="2:33" x14ac:dyDescent="0.3">
      <c r="B17" s="26" t="s">
        <v>64</v>
      </c>
      <c r="C17" s="32" t="s">
        <v>65</v>
      </c>
      <c r="D17" s="32" t="s">
        <v>49</v>
      </c>
      <c r="E17" s="24">
        <v>168.9</v>
      </c>
      <c r="F17" s="24">
        <v>98.9</v>
      </c>
      <c r="G17" s="36">
        <v>15</v>
      </c>
      <c r="H17" s="37">
        <f t="shared" si="0"/>
        <v>2533.5</v>
      </c>
      <c r="I17" s="36">
        <v>12</v>
      </c>
      <c r="J17" s="37">
        <f>I17*F17</f>
        <v>1186.8000000000002</v>
      </c>
      <c r="K17" s="37">
        <f t="shared" si="1"/>
        <v>3720.3</v>
      </c>
      <c r="L17" s="44">
        <v>110</v>
      </c>
      <c r="M17" s="44">
        <v>30</v>
      </c>
      <c r="N17" s="64">
        <f t="shared" si="12"/>
        <v>0.27272727272727271</v>
      </c>
      <c r="O17" s="45">
        <f t="shared" si="2"/>
        <v>5067</v>
      </c>
      <c r="P17" s="44">
        <v>23</v>
      </c>
      <c r="Q17" s="46">
        <f t="shared" si="3"/>
        <v>2274.7000000000003</v>
      </c>
      <c r="R17" s="46">
        <f t="shared" si="4"/>
        <v>7341.7000000000007</v>
      </c>
      <c r="S17" s="49">
        <v>143</v>
      </c>
      <c r="T17" s="49">
        <v>19</v>
      </c>
      <c r="U17" s="66">
        <v>0.13286713286713286</v>
      </c>
      <c r="V17" s="50">
        <f t="shared" si="5"/>
        <v>3209.1</v>
      </c>
      <c r="W17" s="49">
        <v>17</v>
      </c>
      <c r="X17" s="51">
        <f t="shared" si="6"/>
        <v>1681.3000000000002</v>
      </c>
      <c r="Y17" s="51">
        <f t="shared" si="7"/>
        <v>4890.3999999999996</v>
      </c>
      <c r="Z17" s="54">
        <v>159</v>
      </c>
      <c r="AA17" s="54">
        <v>45</v>
      </c>
      <c r="AB17" s="68">
        <v>0.28301886792452829</v>
      </c>
      <c r="AC17" s="55">
        <f t="shared" si="8"/>
        <v>7600.5</v>
      </c>
      <c r="AD17" s="54">
        <v>35</v>
      </c>
      <c r="AE17" s="56">
        <f t="shared" si="9"/>
        <v>3461.5</v>
      </c>
      <c r="AF17" s="56">
        <f t="shared" si="10"/>
        <v>11062</v>
      </c>
      <c r="AG17" s="38">
        <f t="shared" si="11"/>
        <v>23294.1</v>
      </c>
    </row>
    <row r="18" spans="2:33" x14ac:dyDescent="0.3">
      <c r="B18" s="26" t="s">
        <v>91</v>
      </c>
      <c r="C18" s="32" t="s">
        <v>87</v>
      </c>
      <c r="D18" s="32" t="s">
        <v>23</v>
      </c>
      <c r="E18" s="24">
        <v>197.9</v>
      </c>
      <c r="F18" s="24">
        <v>118.9</v>
      </c>
      <c r="G18" s="36">
        <v>16</v>
      </c>
      <c r="H18" s="35">
        <f t="shared" si="0"/>
        <v>3166.4</v>
      </c>
      <c r="I18" s="36">
        <v>15</v>
      </c>
      <c r="J18" s="37">
        <f>F18*I18</f>
        <v>1783.5</v>
      </c>
      <c r="K18" s="37">
        <f t="shared" si="1"/>
        <v>4949.8999999999996</v>
      </c>
      <c r="L18" s="44">
        <v>178</v>
      </c>
      <c r="M18" s="44">
        <v>40</v>
      </c>
      <c r="N18" s="64">
        <f t="shared" si="12"/>
        <v>0.2247191011235955</v>
      </c>
      <c r="O18" s="45">
        <f t="shared" si="2"/>
        <v>7916</v>
      </c>
      <c r="P18" s="44">
        <v>30</v>
      </c>
      <c r="Q18" s="46">
        <f t="shared" si="3"/>
        <v>3567</v>
      </c>
      <c r="R18" s="46">
        <f t="shared" si="4"/>
        <v>11483</v>
      </c>
      <c r="S18" s="49">
        <v>179</v>
      </c>
      <c r="T18" s="49">
        <v>25</v>
      </c>
      <c r="U18" s="66">
        <v>0.13966480446927373</v>
      </c>
      <c r="V18" s="50">
        <f t="shared" si="5"/>
        <v>4947.5</v>
      </c>
      <c r="W18" s="49">
        <v>12</v>
      </c>
      <c r="X18" s="51">
        <f t="shared" si="6"/>
        <v>1426.8000000000002</v>
      </c>
      <c r="Y18" s="51">
        <f t="shared" si="7"/>
        <v>6374.3</v>
      </c>
      <c r="Z18" s="54">
        <v>192</v>
      </c>
      <c r="AA18" s="54">
        <v>18</v>
      </c>
      <c r="AB18" s="68">
        <v>9.375E-2</v>
      </c>
      <c r="AC18" s="55">
        <f t="shared" si="8"/>
        <v>3562.2000000000003</v>
      </c>
      <c r="AD18" s="54">
        <v>10</v>
      </c>
      <c r="AE18" s="56">
        <f t="shared" si="9"/>
        <v>1189</v>
      </c>
      <c r="AF18" s="56">
        <f t="shared" si="10"/>
        <v>4751.2000000000007</v>
      </c>
      <c r="AG18" s="38">
        <f t="shared" si="11"/>
        <v>22608.5</v>
      </c>
    </row>
    <row r="19" spans="2:33" x14ac:dyDescent="0.3">
      <c r="B19" s="29" t="s">
        <v>24</v>
      </c>
      <c r="C19" s="27" t="s">
        <v>22</v>
      </c>
      <c r="D19" s="27" t="s">
        <v>23</v>
      </c>
      <c r="E19" s="24">
        <v>197.9</v>
      </c>
      <c r="F19" s="24">
        <v>118.9</v>
      </c>
      <c r="G19" s="36">
        <v>20</v>
      </c>
      <c r="H19" s="35">
        <f t="shared" si="0"/>
        <v>3958</v>
      </c>
      <c r="I19" s="36">
        <v>5</v>
      </c>
      <c r="J19" s="37">
        <f>F19*I19</f>
        <v>594.5</v>
      </c>
      <c r="K19" s="37">
        <f t="shared" si="1"/>
        <v>4552.5</v>
      </c>
      <c r="L19" s="44">
        <v>165</v>
      </c>
      <c r="M19" s="44">
        <v>29</v>
      </c>
      <c r="N19" s="64">
        <f t="shared" si="12"/>
        <v>0.17575757575757575</v>
      </c>
      <c r="O19" s="45">
        <f t="shared" si="2"/>
        <v>5739.1</v>
      </c>
      <c r="P19" s="44">
        <v>12</v>
      </c>
      <c r="Q19" s="46">
        <f t="shared" si="3"/>
        <v>1426.8000000000002</v>
      </c>
      <c r="R19" s="46">
        <f t="shared" si="4"/>
        <v>7165.9000000000005</v>
      </c>
      <c r="S19" s="49">
        <v>171</v>
      </c>
      <c r="T19" s="49">
        <v>30</v>
      </c>
      <c r="U19" s="66">
        <v>0.17543859649122806</v>
      </c>
      <c r="V19" s="50">
        <f t="shared" si="5"/>
        <v>5937</v>
      </c>
      <c r="W19" s="49">
        <v>15</v>
      </c>
      <c r="X19" s="51">
        <f t="shared" si="6"/>
        <v>1783.5</v>
      </c>
      <c r="Y19" s="51">
        <f t="shared" si="7"/>
        <v>7720.5</v>
      </c>
      <c r="Z19" s="54">
        <v>117</v>
      </c>
      <c r="AA19" s="54">
        <v>21</v>
      </c>
      <c r="AB19" s="68">
        <v>0.17948717948717949</v>
      </c>
      <c r="AC19" s="55">
        <f t="shared" si="8"/>
        <v>4155.9000000000005</v>
      </c>
      <c r="AD19" s="54">
        <v>10</v>
      </c>
      <c r="AE19" s="56">
        <f t="shared" si="9"/>
        <v>1189</v>
      </c>
      <c r="AF19" s="56">
        <f t="shared" si="10"/>
        <v>5344.9000000000005</v>
      </c>
      <c r="AG19" s="38">
        <f t="shared" si="11"/>
        <v>20231.300000000003</v>
      </c>
    </row>
    <row r="20" spans="2:33" x14ac:dyDescent="0.3">
      <c r="B20" s="28" t="s">
        <v>43</v>
      </c>
      <c r="C20" s="27" t="s">
        <v>35</v>
      </c>
      <c r="D20" s="27" t="s">
        <v>10</v>
      </c>
      <c r="E20" s="24">
        <v>168.9</v>
      </c>
      <c r="F20" s="24">
        <v>98.9</v>
      </c>
      <c r="G20" s="36">
        <v>6</v>
      </c>
      <c r="H20" s="37">
        <f t="shared" si="0"/>
        <v>1013.4000000000001</v>
      </c>
      <c r="I20" s="36">
        <v>0</v>
      </c>
      <c r="J20" s="37">
        <f>I20*F20</f>
        <v>0</v>
      </c>
      <c r="K20" s="37">
        <f t="shared" si="1"/>
        <v>1013.4000000000001</v>
      </c>
      <c r="L20" s="44">
        <v>146</v>
      </c>
      <c r="M20" s="44">
        <v>31</v>
      </c>
      <c r="N20" s="64">
        <f t="shared" si="12"/>
        <v>0.21232876712328766</v>
      </c>
      <c r="O20" s="45">
        <f t="shared" si="2"/>
        <v>5235.9000000000005</v>
      </c>
      <c r="P20" s="44">
        <v>0</v>
      </c>
      <c r="Q20" s="46">
        <f t="shared" si="3"/>
        <v>0</v>
      </c>
      <c r="R20" s="46">
        <f t="shared" si="4"/>
        <v>5235.9000000000005</v>
      </c>
      <c r="S20" s="49">
        <v>141</v>
      </c>
      <c r="T20" s="49">
        <v>43</v>
      </c>
      <c r="U20" s="66">
        <v>0.30496453900709219</v>
      </c>
      <c r="V20" s="50">
        <f t="shared" si="5"/>
        <v>7262.7</v>
      </c>
      <c r="W20" s="49">
        <v>0</v>
      </c>
      <c r="X20" s="51">
        <f t="shared" si="6"/>
        <v>0</v>
      </c>
      <c r="Y20" s="51">
        <f t="shared" si="7"/>
        <v>7262.7</v>
      </c>
      <c r="Z20" s="54">
        <v>154</v>
      </c>
      <c r="AA20" s="54">
        <v>28</v>
      </c>
      <c r="AB20" s="68">
        <v>0.18181818181818182</v>
      </c>
      <c r="AC20" s="55">
        <f t="shared" si="8"/>
        <v>4729.2</v>
      </c>
      <c r="AD20" s="54">
        <v>3</v>
      </c>
      <c r="AE20" s="56">
        <f t="shared" si="9"/>
        <v>296.70000000000005</v>
      </c>
      <c r="AF20" s="56">
        <f t="shared" si="10"/>
        <v>5025.8999999999996</v>
      </c>
      <c r="AG20" s="38">
        <f t="shared" si="11"/>
        <v>17524.5</v>
      </c>
    </row>
    <row r="21" spans="2:33" x14ac:dyDescent="0.3">
      <c r="B21" s="26" t="s">
        <v>114</v>
      </c>
      <c r="C21" s="32" t="s">
        <v>94</v>
      </c>
      <c r="D21" s="32" t="s">
        <v>23</v>
      </c>
      <c r="E21" s="24">
        <v>197.9</v>
      </c>
      <c r="F21" s="24">
        <v>118.9</v>
      </c>
      <c r="G21" s="36">
        <v>0</v>
      </c>
      <c r="H21" s="35">
        <f t="shared" si="0"/>
        <v>0</v>
      </c>
      <c r="I21" s="36"/>
      <c r="J21" s="37">
        <f>F21*I21</f>
        <v>0</v>
      </c>
      <c r="K21" s="37">
        <f t="shared" si="1"/>
        <v>0</v>
      </c>
      <c r="L21" s="44">
        <v>115</v>
      </c>
      <c r="M21" s="44">
        <v>16</v>
      </c>
      <c r="N21" s="64">
        <f t="shared" si="12"/>
        <v>0.1391304347826087</v>
      </c>
      <c r="O21" s="45">
        <f t="shared" si="2"/>
        <v>3166.4</v>
      </c>
      <c r="P21" s="44">
        <v>4</v>
      </c>
      <c r="Q21" s="46">
        <f t="shared" si="3"/>
        <v>475.6</v>
      </c>
      <c r="R21" s="46">
        <f t="shared" si="4"/>
        <v>3642</v>
      </c>
      <c r="S21" s="49">
        <v>108</v>
      </c>
      <c r="T21" s="49">
        <v>30</v>
      </c>
      <c r="U21" s="66">
        <v>0.27777777777777779</v>
      </c>
      <c r="V21" s="50">
        <f t="shared" si="5"/>
        <v>5937</v>
      </c>
      <c r="W21" s="49">
        <v>7</v>
      </c>
      <c r="X21" s="51">
        <f t="shared" si="6"/>
        <v>832.30000000000007</v>
      </c>
      <c r="Y21" s="51">
        <f t="shared" si="7"/>
        <v>6769.3</v>
      </c>
      <c r="Z21" s="54">
        <v>122</v>
      </c>
      <c r="AA21" s="54">
        <v>29</v>
      </c>
      <c r="AB21" s="68">
        <v>0.23770491803278687</v>
      </c>
      <c r="AC21" s="55">
        <f t="shared" si="8"/>
        <v>5739.1</v>
      </c>
      <c r="AD21" s="54">
        <v>11</v>
      </c>
      <c r="AE21" s="56">
        <f t="shared" si="9"/>
        <v>1307.9000000000001</v>
      </c>
      <c r="AF21" s="56">
        <f t="shared" si="10"/>
        <v>7047</v>
      </c>
      <c r="AG21" s="38">
        <f t="shared" si="11"/>
        <v>17458.3</v>
      </c>
    </row>
    <row r="22" spans="2:33" x14ac:dyDescent="0.3">
      <c r="B22" s="29" t="s">
        <v>19</v>
      </c>
      <c r="C22" s="32" t="s">
        <v>9</v>
      </c>
      <c r="D22" s="32" t="s">
        <v>10</v>
      </c>
      <c r="E22" s="24">
        <v>168.9</v>
      </c>
      <c r="F22" s="24">
        <v>98.9</v>
      </c>
      <c r="G22" s="36">
        <v>10</v>
      </c>
      <c r="H22" s="37">
        <f t="shared" si="0"/>
        <v>1689</v>
      </c>
      <c r="I22" s="36">
        <v>1</v>
      </c>
      <c r="J22" s="37">
        <f>I22*F22</f>
        <v>98.9</v>
      </c>
      <c r="K22" s="37">
        <f t="shared" si="1"/>
        <v>1787.9</v>
      </c>
      <c r="L22" s="44">
        <v>128</v>
      </c>
      <c r="M22" s="44">
        <v>19</v>
      </c>
      <c r="N22" s="64">
        <f t="shared" si="12"/>
        <v>0.1484375</v>
      </c>
      <c r="O22" s="45">
        <f t="shared" si="2"/>
        <v>3209.1</v>
      </c>
      <c r="P22" s="44">
        <v>0</v>
      </c>
      <c r="Q22" s="46">
        <f t="shared" si="3"/>
        <v>0</v>
      </c>
      <c r="R22" s="46">
        <f t="shared" si="4"/>
        <v>3209.1</v>
      </c>
      <c r="S22" s="49">
        <v>126</v>
      </c>
      <c r="T22" s="49">
        <v>39</v>
      </c>
      <c r="U22" s="66">
        <v>0.30952380952380953</v>
      </c>
      <c r="V22" s="50">
        <f t="shared" si="5"/>
        <v>6587.1</v>
      </c>
      <c r="W22" s="49">
        <v>8</v>
      </c>
      <c r="X22" s="51">
        <f t="shared" si="6"/>
        <v>791.2</v>
      </c>
      <c r="Y22" s="51">
        <f t="shared" si="7"/>
        <v>7378.3</v>
      </c>
      <c r="Z22" s="54">
        <v>160</v>
      </c>
      <c r="AA22" s="54">
        <v>28</v>
      </c>
      <c r="AB22" s="68">
        <v>0.17499999999999999</v>
      </c>
      <c r="AC22" s="55">
        <f t="shared" si="8"/>
        <v>4729.2</v>
      </c>
      <c r="AD22" s="54">
        <v>12</v>
      </c>
      <c r="AE22" s="56">
        <f t="shared" si="9"/>
        <v>1186.8000000000002</v>
      </c>
      <c r="AF22" s="56">
        <f t="shared" si="10"/>
        <v>5916</v>
      </c>
      <c r="AG22" s="38">
        <f t="shared" si="11"/>
        <v>16503.399999999998</v>
      </c>
    </row>
    <row r="23" spans="2:33" x14ac:dyDescent="0.3">
      <c r="B23" s="28" t="s">
        <v>41</v>
      </c>
      <c r="C23" s="27" t="s">
        <v>35</v>
      </c>
      <c r="D23" s="27" t="s">
        <v>10</v>
      </c>
      <c r="E23" s="24">
        <v>168.9</v>
      </c>
      <c r="F23" s="24">
        <v>98.9</v>
      </c>
      <c r="G23" s="36">
        <v>4</v>
      </c>
      <c r="H23" s="37">
        <f t="shared" si="0"/>
        <v>675.6</v>
      </c>
      <c r="I23" s="36">
        <v>0</v>
      </c>
      <c r="J23" s="37">
        <f>I23*F23</f>
        <v>0</v>
      </c>
      <c r="K23" s="37">
        <f t="shared" si="1"/>
        <v>675.6</v>
      </c>
      <c r="L23" s="44">
        <v>124</v>
      </c>
      <c r="M23" s="44">
        <v>35</v>
      </c>
      <c r="N23" s="64">
        <f t="shared" si="12"/>
        <v>0.28225806451612906</v>
      </c>
      <c r="O23" s="45">
        <f t="shared" si="2"/>
        <v>5911.5</v>
      </c>
      <c r="P23" s="44">
        <v>0</v>
      </c>
      <c r="Q23" s="46">
        <f t="shared" si="3"/>
        <v>0</v>
      </c>
      <c r="R23" s="46">
        <f t="shared" si="4"/>
        <v>5911.5</v>
      </c>
      <c r="S23" s="49">
        <v>134</v>
      </c>
      <c r="T23" s="49">
        <v>18</v>
      </c>
      <c r="U23" s="66">
        <v>0.13432835820895522</v>
      </c>
      <c r="V23" s="50">
        <f t="shared" si="5"/>
        <v>3040.2000000000003</v>
      </c>
      <c r="W23" s="49">
        <v>0</v>
      </c>
      <c r="X23" s="51">
        <f t="shared" si="6"/>
        <v>0</v>
      </c>
      <c r="Y23" s="51">
        <f t="shared" si="7"/>
        <v>3040.2000000000003</v>
      </c>
      <c r="Z23" s="54">
        <v>236</v>
      </c>
      <c r="AA23" s="54">
        <v>40</v>
      </c>
      <c r="AB23" s="68">
        <v>0.16949152542372881</v>
      </c>
      <c r="AC23" s="55">
        <f t="shared" si="8"/>
        <v>6756</v>
      </c>
      <c r="AD23" s="54">
        <v>7</v>
      </c>
      <c r="AE23" s="56">
        <f t="shared" si="9"/>
        <v>692.30000000000007</v>
      </c>
      <c r="AF23" s="56">
        <f t="shared" si="10"/>
        <v>7448.3</v>
      </c>
      <c r="AG23" s="38">
        <f t="shared" si="11"/>
        <v>16400</v>
      </c>
    </row>
    <row r="24" spans="2:33" x14ac:dyDescent="0.3">
      <c r="B24" s="29" t="s">
        <v>8</v>
      </c>
      <c r="C24" s="32" t="s">
        <v>9</v>
      </c>
      <c r="D24" s="32" t="s">
        <v>10</v>
      </c>
      <c r="E24" s="24">
        <v>168.9</v>
      </c>
      <c r="F24" s="24">
        <v>98.9</v>
      </c>
      <c r="G24" s="36">
        <v>9</v>
      </c>
      <c r="H24" s="37">
        <f t="shared" si="0"/>
        <v>1520.1000000000001</v>
      </c>
      <c r="I24" s="36">
        <v>0</v>
      </c>
      <c r="J24" s="37">
        <f>I24*F24</f>
        <v>0</v>
      </c>
      <c r="K24" s="37">
        <f t="shared" si="1"/>
        <v>1520.1000000000001</v>
      </c>
      <c r="L24" s="44">
        <v>164</v>
      </c>
      <c r="M24" s="44">
        <v>18</v>
      </c>
      <c r="N24" s="64">
        <f t="shared" si="12"/>
        <v>0.10975609756097561</v>
      </c>
      <c r="O24" s="45">
        <f t="shared" si="2"/>
        <v>3040.2000000000003</v>
      </c>
      <c r="P24" s="44">
        <v>0</v>
      </c>
      <c r="Q24" s="46">
        <f t="shared" si="3"/>
        <v>0</v>
      </c>
      <c r="R24" s="46">
        <f t="shared" si="4"/>
        <v>3040.2000000000003</v>
      </c>
      <c r="S24" s="49">
        <v>126</v>
      </c>
      <c r="T24" s="49">
        <v>32</v>
      </c>
      <c r="U24" s="66">
        <v>0.25396825396825395</v>
      </c>
      <c r="V24" s="50">
        <f t="shared" si="5"/>
        <v>5404.8</v>
      </c>
      <c r="W24" s="49">
        <v>0</v>
      </c>
      <c r="X24" s="51">
        <f t="shared" si="6"/>
        <v>0</v>
      </c>
      <c r="Y24" s="51">
        <f t="shared" si="7"/>
        <v>5404.8</v>
      </c>
      <c r="Z24" s="54">
        <v>133</v>
      </c>
      <c r="AA24" s="54">
        <v>30</v>
      </c>
      <c r="AB24" s="68">
        <v>0.22556390977443608</v>
      </c>
      <c r="AC24" s="55">
        <f t="shared" si="8"/>
        <v>5067</v>
      </c>
      <c r="AD24" s="54">
        <v>4</v>
      </c>
      <c r="AE24" s="56">
        <f t="shared" si="9"/>
        <v>395.6</v>
      </c>
      <c r="AF24" s="56">
        <f t="shared" si="10"/>
        <v>5462.6</v>
      </c>
      <c r="AG24" s="38">
        <f t="shared" si="11"/>
        <v>13907.600000000002</v>
      </c>
    </row>
    <row r="25" spans="2:33" x14ac:dyDescent="0.3">
      <c r="B25" s="26" t="s">
        <v>77</v>
      </c>
      <c r="C25" s="32" t="s">
        <v>60</v>
      </c>
      <c r="D25" s="32" t="s">
        <v>23</v>
      </c>
      <c r="E25" s="24">
        <v>197.9</v>
      </c>
      <c r="F25" s="24">
        <v>118.9</v>
      </c>
      <c r="G25" s="36">
        <v>0</v>
      </c>
      <c r="H25" s="35">
        <f t="shared" si="0"/>
        <v>0</v>
      </c>
      <c r="I25" s="36">
        <v>0</v>
      </c>
      <c r="J25" s="37">
        <f>F25*I25</f>
        <v>0</v>
      </c>
      <c r="K25" s="37">
        <f t="shared" si="1"/>
        <v>0</v>
      </c>
      <c r="L25" s="44">
        <v>151</v>
      </c>
      <c r="M25" s="44">
        <v>13</v>
      </c>
      <c r="N25" s="64">
        <f t="shared" si="12"/>
        <v>8.6092715231788075E-2</v>
      </c>
      <c r="O25" s="45">
        <f t="shared" si="2"/>
        <v>2572.7000000000003</v>
      </c>
      <c r="P25" s="44">
        <v>6</v>
      </c>
      <c r="Q25" s="46">
        <f t="shared" si="3"/>
        <v>713.40000000000009</v>
      </c>
      <c r="R25" s="46">
        <f t="shared" si="4"/>
        <v>3286.1000000000004</v>
      </c>
      <c r="S25" s="49">
        <v>189</v>
      </c>
      <c r="T25" s="49">
        <v>21</v>
      </c>
      <c r="U25" s="66">
        <v>0.1111111111111111</v>
      </c>
      <c r="V25" s="50">
        <f t="shared" si="5"/>
        <v>4155.9000000000005</v>
      </c>
      <c r="W25" s="49">
        <v>3</v>
      </c>
      <c r="X25" s="51">
        <f t="shared" si="6"/>
        <v>356.70000000000005</v>
      </c>
      <c r="Y25" s="51">
        <f t="shared" si="7"/>
        <v>4512.6000000000004</v>
      </c>
      <c r="Z25" s="54">
        <v>123</v>
      </c>
      <c r="AA25" s="54">
        <v>20</v>
      </c>
      <c r="AB25" s="68">
        <v>0.16260162601626016</v>
      </c>
      <c r="AC25" s="55">
        <f t="shared" si="8"/>
        <v>3958</v>
      </c>
      <c r="AD25" s="54">
        <v>0</v>
      </c>
      <c r="AE25" s="56">
        <f t="shared" si="9"/>
        <v>0</v>
      </c>
      <c r="AF25" s="56">
        <f t="shared" si="10"/>
        <v>3958</v>
      </c>
      <c r="AG25" s="38">
        <f t="shared" si="11"/>
        <v>11756.7</v>
      </c>
    </row>
    <row r="26" spans="2:33" x14ac:dyDescent="0.3">
      <c r="B26" s="28" t="s">
        <v>90</v>
      </c>
      <c r="C26" s="27" t="s">
        <v>22</v>
      </c>
      <c r="D26" s="27" t="s">
        <v>23</v>
      </c>
      <c r="E26" s="24">
        <v>197.9</v>
      </c>
      <c r="F26" s="24">
        <v>118.9</v>
      </c>
      <c r="G26" s="36">
        <v>1</v>
      </c>
      <c r="H26" s="35">
        <f t="shared" si="0"/>
        <v>197.9</v>
      </c>
      <c r="I26" s="36">
        <v>1</v>
      </c>
      <c r="J26" s="37">
        <f>F26*I26</f>
        <v>118.9</v>
      </c>
      <c r="K26" s="37">
        <f t="shared" si="1"/>
        <v>316.8</v>
      </c>
      <c r="L26" s="44">
        <v>155</v>
      </c>
      <c r="M26" s="44">
        <v>7</v>
      </c>
      <c r="N26" s="64">
        <f t="shared" si="12"/>
        <v>4.5161290322580643E-2</v>
      </c>
      <c r="O26" s="45">
        <f t="shared" si="2"/>
        <v>1385.3</v>
      </c>
      <c r="P26" s="44">
        <v>6</v>
      </c>
      <c r="Q26" s="46">
        <f t="shared" si="3"/>
        <v>713.40000000000009</v>
      </c>
      <c r="R26" s="46">
        <f t="shared" si="4"/>
        <v>2098.6999999999998</v>
      </c>
      <c r="S26" s="49">
        <v>140</v>
      </c>
      <c r="T26" s="49">
        <v>15</v>
      </c>
      <c r="U26" s="66">
        <v>0.10714285714285714</v>
      </c>
      <c r="V26" s="50">
        <f t="shared" si="5"/>
        <v>2968.5</v>
      </c>
      <c r="W26" s="49">
        <v>13</v>
      </c>
      <c r="X26" s="51">
        <f t="shared" si="6"/>
        <v>1545.7</v>
      </c>
      <c r="Y26" s="51">
        <f t="shared" si="7"/>
        <v>4514.2</v>
      </c>
      <c r="Z26" s="54">
        <v>169</v>
      </c>
      <c r="AA26" s="54">
        <v>16</v>
      </c>
      <c r="AB26" s="68">
        <v>9.4674556213017749E-2</v>
      </c>
      <c r="AC26" s="55">
        <f t="shared" si="8"/>
        <v>3166.4</v>
      </c>
      <c r="AD26" s="54">
        <v>15</v>
      </c>
      <c r="AE26" s="56">
        <f t="shared" si="9"/>
        <v>1783.5</v>
      </c>
      <c r="AF26" s="56">
        <f t="shared" si="10"/>
        <v>4949.8999999999996</v>
      </c>
      <c r="AG26" s="38">
        <f t="shared" si="11"/>
        <v>11562.8</v>
      </c>
    </row>
    <row r="27" spans="2:33" x14ac:dyDescent="0.3">
      <c r="B27" s="26" t="s">
        <v>71</v>
      </c>
      <c r="C27" s="32" t="s">
        <v>35</v>
      </c>
      <c r="D27" s="32" t="s">
        <v>69</v>
      </c>
      <c r="E27" s="24">
        <v>168.9</v>
      </c>
      <c r="F27" s="24">
        <v>0</v>
      </c>
      <c r="G27" s="36">
        <v>22</v>
      </c>
      <c r="H27" s="37">
        <f t="shared" si="0"/>
        <v>3715.8</v>
      </c>
      <c r="I27" s="36">
        <v>0</v>
      </c>
      <c r="J27" s="37">
        <f>I27*F27</f>
        <v>0</v>
      </c>
      <c r="K27" s="37">
        <f t="shared" si="1"/>
        <v>3715.8</v>
      </c>
      <c r="L27" s="44">
        <v>169</v>
      </c>
      <c r="M27" s="44">
        <v>39</v>
      </c>
      <c r="N27" s="64">
        <f t="shared" si="12"/>
        <v>0.23076923076923078</v>
      </c>
      <c r="O27" s="45">
        <f t="shared" si="2"/>
        <v>6587.1</v>
      </c>
      <c r="P27" s="44"/>
      <c r="Q27" s="46">
        <f t="shared" si="3"/>
        <v>0</v>
      </c>
      <c r="R27" s="46">
        <f t="shared" si="4"/>
        <v>6587.1</v>
      </c>
      <c r="S27" s="49">
        <v>172</v>
      </c>
      <c r="T27" s="49">
        <v>19</v>
      </c>
      <c r="U27" s="66">
        <v>0.11046511627906977</v>
      </c>
      <c r="V27" s="50">
        <f t="shared" si="5"/>
        <v>3209.1</v>
      </c>
      <c r="W27" s="49">
        <v>0</v>
      </c>
      <c r="X27" s="51">
        <f t="shared" si="6"/>
        <v>0</v>
      </c>
      <c r="Y27" s="51">
        <f t="shared" si="7"/>
        <v>3209.1</v>
      </c>
      <c r="Z27" s="54">
        <v>217</v>
      </c>
      <c r="AA27" s="54">
        <v>8</v>
      </c>
      <c r="AB27" s="68">
        <v>3.6866359447004608E-2</v>
      </c>
      <c r="AC27" s="55">
        <f t="shared" si="8"/>
        <v>1351.2</v>
      </c>
      <c r="AD27" s="54">
        <v>0</v>
      </c>
      <c r="AE27" s="56">
        <f t="shared" si="9"/>
        <v>0</v>
      </c>
      <c r="AF27" s="56">
        <f t="shared" si="10"/>
        <v>1351.2</v>
      </c>
      <c r="AG27" s="38">
        <f t="shared" si="11"/>
        <v>11147.400000000001</v>
      </c>
    </row>
    <row r="28" spans="2:33" x14ac:dyDescent="0.3">
      <c r="B28" s="26" t="s">
        <v>36</v>
      </c>
      <c r="C28" s="27" t="s">
        <v>35</v>
      </c>
      <c r="D28" s="27" t="s">
        <v>23</v>
      </c>
      <c r="E28" s="24">
        <v>197.9</v>
      </c>
      <c r="F28" s="24">
        <v>118.9</v>
      </c>
      <c r="G28" s="36">
        <v>10</v>
      </c>
      <c r="H28" s="35">
        <f t="shared" si="0"/>
        <v>1979</v>
      </c>
      <c r="I28" s="36">
        <v>1</v>
      </c>
      <c r="J28" s="37">
        <f>F28*I28</f>
        <v>118.9</v>
      </c>
      <c r="K28" s="37">
        <f t="shared" si="1"/>
        <v>2097.9</v>
      </c>
      <c r="L28" s="44">
        <v>159</v>
      </c>
      <c r="M28" s="44">
        <v>16</v>
      </c>
      <c r="N28" s="64">
        <f t="shared" si="12"/>
        <v>0.10062893081761007</v>
      </c>
      <c r="O28" s="45">
        <f t="shared" si="2"/>
        <v>3166.4</v>
      </c>
      <c r="P28" s="44">
        <v>3</v>
      </c>
      <c r="Q28" s="46">
        <f t="shared" si="3"/>
        <v>356.70000000000005</v>
      </c>
      <c r="R28" s="46">
        <f t="shared" si="4"/>
        <v>3523.1000000000004</v>
      </c>
      <c r="S28" s="49">
        <v>180</v>
      </c>
      <c r="T28" s="49">
        <v>18</v>
      </c>
      <c r="U28" s="66">
        <v>0.1</v>
      </c>
      <c r="V28" s="50">
        <f t="shared" si="5"/>
        <v>3562.2000000000003</v>
      </c>
      <c r="W28" s="49">
        <v>7</v>
      </c>
      <c r="X28" s="51">
        <f t="shared" si="6"/>
        <v>832.30000000000007</v>
      </c>
      <c r="Y28" s="51">
        <f t="shared" si="7"/>
        <v>4394.5</v>
      </c>
      <c r="Z28" s="54">
        <v>203</v>
      </c>
      <c r="AA28" s="54">
        <v>10</v>
      </c>
      <c r="AB28" s="68">
        <v>4.9261083743842367E-2</v>
      </c>
      <c r="AC28" s="55">
        <f t="shared" si="8"/>
        <v>1979</v>
      </c>
      <c r="AD28" s="54">
        <v>5</v>
      </c>
      <c r="AE28" s="56">
        <f t="shared" si="9"/>
        <v>594.5</v>
      </c>
      <c r="AF28" s="56">
        <f t="shared" si="10"/>
        <v>2573.5</v>
      </c>
      <c r="AG28" s="38">
        <f t="shared" si="11"/>
        <v>10491.1</v>
      </c>
    </row>
    <row r="29" spans="2:33" x14ac:dyDescent="0.3">
      <c r="B29" s="26" t="s">
        <v>111</v>
      </c>
      <c r="C29" s="32" t="s">
        <v>55</v>
      </c>
      <c r="D29" s="32" t="s">
        <v>23</v>
      </c>
      <c r="E29" s="24">
        <v>197.9</v>
      </c>
      <c r="F29" s="24">
        <v>118.9</v>
      </c>
      <c r="G29" s="36">
        <v>0</v>
      </c>
      <c r="H29" s="35">
        <f t="shared" si="0"/>
        <v>0</v>
      </c>
      <c r="I29" s="36"/>
      <c r="J29" s="37">
        <f>F29*I29</f>
        <v>0</v>
      </c>
      <c r="K29" s="37">
        <f t="shared" si="1"/>
        <v>0</v>
      </c>
      <c r="L29" s="44">
        <v>121</v>
      </c>
      <c r="M29" s="44">
        <v>9</v>
      </c>
      <c r="N29" s="64">
        <f t="shared" si="12"/>
        <v>7.43801652892562E-2</v>
      </c>
      <c r="O29" s="45">
        <f t="shared" si="2"/>
        <v>1781.1000000000001</v>
      </c>
      <c r="P29" s="44">
        <v>9</v>
      </c>
      <c r="Q29" s="46">
        <f t="shared" si="3"/>
        <v>1070.1000000000001</v>
      </c>
      <c r="R29" s="46">
        <f t="shared" si="4"/>
        <v>2851.2000000000003</v>
      </c>
      <c r="S29" s="49">
        <v>159</v>
      </c>
      <c r="T29" s="49">
        <v>10</v>
      </c>
      <c r="U29" s="66">
        <v>6.2893081761006289E-2</v>
      </c>
      <c r="V29" s="50">
        <f t="shared" si="5"/>
        <v>1979</v>
      </c>
      <c r="W29" s="49">
        <v>8</v>
      </c>
      <c r="X29" s="51">
        <f t="shared" si="6"/>
        <v>951.2</v>
      </c>
      <c r="Y29" s="51">
        <f t="shared" si="7"/>
        <v>2930.2</v>
      </c>
      <c r="Z29" s="54">
        <v>117</v>
      </c>
      <c r="AA29" s="54">
        <v>14</v>
      </c>
      <c r="AB29" s="68">
        <v>0.11965811965811966</v>
      </c>
      <c r="AC29" s="55">
        <f t="shared" si="8"/>
        <v>2770.6</v>
      </c>
      <c r="AD29" s="54">
        <v>12</v>
      </c>
      <c r="AE29" s="56">
        <f t="shared" si="9"/>
        <v>1426.8000000000002</v>
      </c>
      <c r="AF29" s="56">
        <f t="shared" si="10"/>
        <v>4197.3999999999996</v>
      </c>
      <c r="AG29" s="38">
        <f t="shared" si="11"/>
        <v>9978.7999999999993</v>
      </c>
    </row>
    <row r="30" spans="2:33" x14ac:dyDescent="0.3">
      <c r="B30" s="26" t="s">
        <v>31</v>
      </c>
      <c r="C30" s="32" t="s">
        <v>16</v>
      </c>
      <c r="D30" s="32" t="s">
        <v>10</v>
      </c>
      <c r="E30" s="24">
        <v>168.9</v>
      </c>
      <c r="F30" s="24">
        <v>98.9</v>
      </c>
      <c r="G30" s="36">
        <v>6</v>
      </c>
      <c r="H30" s="37">
        <f t="shared" si="0"/>
        <v>1013.4000000000001</v>
      </c>
      <c r="I30" s="36">
        <v>0</v>
      </c>
      <c r="J30" s="37">
        <f>I30*F30</f>
        <v>0</v>
      </c>
      <c r="K30" s="37">
        <f t="shared" si="1"/>
        <v>1013.4000000000001</v>
      </c>
      <c r="L30" s="44">
        <v>159</v>
      </c>
      <c r="M30" s="44">
        <v>13</v>
      </c>
      <c r="N30" s="64">
        <f t="shared" si="12"/>
        <v>8.1761006289308172E-2</v>
      </c>
      <c r="O30" s="45">
        <f t="shared" si="2"/>
        <v>2195.7000000000003</v>
      </c>
      <c r="P30" s="44">
        <v>0</v>
      </c>
      <c r="Q30" s="46">
        <f t="shared" si="3"/>
        <v>0</v>
      </c>
      <c r="R30" s="46">
        <f t="shared" si="4"/>
        <v>2195.7000000000003</v>
      </c>
      <c r="S30" s="49">
        <v>140</v>
      </c>
      <c r="T30" s="49">
        <v>17</v>
      </c>
      <c r="U30" s="66">
        <v>0.12142857142857143</v>
      </c>
      <c r="V30" s="50">
        <f t="shared" si="5"/>
        <v>2871.3</v>
      </c>
      <c r="W30" s="49">
        <v>0</v>
      </c>
      <c r="X30" s="51">
        <f t="shared" si="6"/>
        <v>0</v>
      </c>
      <c r="Y30" s="51">
        <f t="shared" si="7"/>
        <v>2871.3</v>
      </c>
      <c r="Z30" s="54">
        <v>122</v>
      </c>
      <c r="AA30" s="54">
        <v>16</v>
      </c>
      <c r="AB30" s="68">
        <v>0.13114754098360656</v>
      </c>
      <c r="AC30" s="55">
        <f t="shared" si="8"/>
        <v>2702.4</v>
      </c>
      <c r="AD30" s="54">
        <v>2</v>
      </c>
      <c r="AE30" s="56">
        <f t="shared" si="9"/>
        <v>197.8</v>
      </c>
      <c r="AF30" s="56">
        <f t="shared" si="10"/>
        <v>2900.2000000000003</v>
      </c>
      <c r="AG30" s="38">
        <f t="shared" si="11"/>
        <v>7967.2000000000007</v>
      </c>
    </row>
    <row r="31" spans="2:33" x14ac:dyDescent="0.3">
      <c r="B31" s="26" t="s">
        <v>76</v>
      </c>
      <c r="C31" s="32" t="s">
        <v>60</v>
      </c>
      <c r="D31" s="32" t="s">
        <v>23</v>
      </c>
      <c r="E31" s="24">
        <v>197.9</v>
      </c>
      <c r="F31" s="24">
        <v>118.9</v>
      </c>
      <c r="G31" s="36">
        <v>1</v>
      </c>
      <c r="H31" s="35">
        <f t="shared" si="0"/>
        <v>197.9</v>
      </c>
      <c r="I31" s="36">
        <v>0</v>
      </c>
      <c r="J31" s="37">
        <f>F31*I31</f>
        <v>0</v>
      </c>
      <c r="K31" s="37">
        <f t="shared" si="1"/>
        <v>197.9</v>
      </c>
      <c r="L31" s="44">
        <v>174</v>
      </c>
      <c r="M31" s="44">
        <v>11</v>
      </c>
      <c r="N31" s="64">
        <f t="shared" si="12"/>
        <v>6.3218390804597707E-2</v>
      </c>
      <c r="O31" s="45">
        <f t="shared" si="2"/>
        <v>2176.9</v>
      </c>
      <c r="P31" s="44">
        <v>7</v>
      </c>
      <c r="Q31" s="46">
        <f t="shared" si="3"/>
        <v>832.30000000000007</v>
      </c>
      <c r="R31" s="46">
        <f t="shared" si="4"/>
        <v>3009.2000000000003</v>
      </c>
      <c r="S31" s="49">
        <v>140</v>
      </c>
      <c r="T31" s="49">
        <v>14</v>
      </c>
      <c r="U31" s="66">
        <v>0.1</v>
      </c>
      <c r="V31" s="50">
        <f t="shared" si="5"/>
        <v>2770.6</v>
      </c>
      <c r="W31" s="49">
        <v>5</v>
      </c>
      <c r="X31" s="51">
        <f t="shared" si="6"/>
        <v>594.5</v>
      </c>
      <c r="Y31" s="51">
        <f t="shared" si="7"/>
        <v>3365.1</v>
      </c>
      <c r="Z31" s="54">
        <v>131</v>
      </c>
      <c r="AA31" s="54">
        <v>6</v>
      </c>
      <c r="AB31" s="68">
        <v>4.5801526717557252E-2</v>
      </c>
      <c r="AC31" s="55">
        <f t="shared" si="8"/>
        <v>1187.4000000000001</v>
      </c>
      <c r="AD31" s="54">
        <v>2</v>
      </c>
      <c r="AE31" s="56">
        <f t="shared" si="9"/>
        <v>237.8</v>
      </c>
      <c r="AF31" s="56">
        <f t="shared" si="10"/>
        <v>1425.2</v>
      </c>
      <c r="AG31" s="38">
        <f t="shared" si="11"/>
        <v>7799.5</v>
      </c>
    </row>
    <row r="32" spans="2:33" x14ac:dyDescent="0.3">
      <c r="B32" s="26" t="s">
        <v>52</v>
      </c>
      <c r="C32" s="32" t="s">
        <v>35</v>
      </c>
      <c r="D32" s="32" t="s">
        <v>49</v>
      </c>
      <c r="E32" s="24">
        <v>168.9</v>
      </c>
      <c r="F32" s="24">
        <v>98.9</v>
      </c>
      <c r="G32" s="36">
        <v>14</v>
      </c>
      <c r="H32" s="37">
        <f t="shared" si="0"/>
        <v>2364.6</v>
      </c>
      <c r="I32" s="36">
        <v>8</v>
      </c>
      <c r="J32" s="37">
        <f>I32*F32</f>
        <v>791.2</v>
      </c>
      <c r="K32" s="37">
        <f t="shared" si="1"/>
        <v>3155.8</v>
      </c>
      <c r="L32" s="44">
        <v>173</v>
      </c>
      <c r="M32" s="44">
        <v>1</v>
      </c>
      <c r="N32" s="64">
        <f t="shared" si="12"/>
        <v>5.7803468208092483E-3</v>
      </c>
      <c r="O32" s="45">
        <f t="shared" si="2"/>
        <v>168.9</v>
      </c>
      <c r="P32" s="44">
        <v>0</v>
      </c>
      <c r="Q32" s="46">
        <f t="shared" si="3"/>
        <v>0</v>
      </c>
      <c r="R32" s="46">
        <f t="shared" si="4"/>
        <v>168.9</v>
      </c>
      <c r="S32" s="49">
        <v>111</v>
      </c>
      <c r="T32" s="49">
        <v>17</v>
      </c>
      <c r="U32" s="66">
        <v>0.15315315315315314</v>
      </c>
      <c r="V32" s="50">
        <f t="shared" si="5"/>
        <v>2871.3</v>
      </c>
      <c r="W32" s="49">
        <v>14</v>
      </c>
      <c r="X32" s="51">
        <f t="shared" si="6"/>
        <v>1384.6000000000001</v>
      </c>
      <c r="Y32" s="51">
        <f t="shared" si="7"/>
        <v>4255.9000000000005</v>
      </c>
      <c r="Z32" s="54">
        <v>189</v>
      </c>
      <c r="AA32" s="54">
        <v>10</v>
      </c>
      <c r="AB32" s="68">
        <v>5.2910052910052907E-2</v>
      </c>
      <c r="AC32" s="55">
        <f t="shared" si="8"/>
        <v>1689</v>
      </c>
      <c r="AD32" s="54">
        <v>12</v>
      </c>
      <c r="AE32" s="56">
        <f t="shared" si="9"/>
        <v>1186.8000000000002</v>
      </c>
      <c r="AF32" s="56">
        <f t="shared" si="10"/>
        <v>2875.8</v>
      </c>
      <c r="AG32" s="38">
        <f t="shared" si="11"/>
        <v>7300.6</v>
      </c>
    </row>
    <row r="33" spans="2:33" x14ac:dyDescent="0.3">
      <c r="B33" s="26" t="s">
        <v>62</v>
      </c>
      <c r="C33" s="32" t="s">
        <v>55</v>
      </c>
      <c r="D33" s="32" t="s">
        <v>10</v>
      </c>
      <c r="E33" s="24">
        <v>168.9</v>
      </c>
      <c r="F33" s="24">
        <v>98.9</v>
      </c>
      <c r="G33" s="36">
        <v>10</v>
      </c>
      <c r="H33" s="37">
        <f t="shared" si="0"/>
        <v>1689</v>
      </c>
      <c r="I33" s="36">
        <v>1</v>
      </c>
      <c r="J33" s="37">
        <f>I33*F33</f>
        <v>98.9</v>
      </c>
      <c r="K33" s="37">
        <f t="shared" si="1"/>
        <v>1787.9</v>
      </c>
      <c r="L33" s="44">
        <v>137</v>
      </c>
      <c r="M33" s="44">
        <v>17</v>
      </c>
      <c r="N33" s="64">
        <f t="shared" si="12"/>
        <v>0.12408759124087591</v>
      </c>
      <c r="O33" s="45">
        <f t="shared" si="2"/>
        <v>2871.3</v>
      </c>
      <c r="P33" s="44">
        <v>0</v>
      </c>
      <c r="Q33" s="46">
        <f t="shared" si="3"/>
        <v>0</v>
      </c>
      <c r="R33" s="46">
        <f t="shared" si="4"/>
        <v>2871.3</v>
      </c>
      <c r="S33" s="49">
        <v>109</v>
      </c>
      <c r="T33" s="49">
        <v>14</v>
      </c>
      <c r="U33" s="66">
        <v>0.12844036697247707</v>
      </c>
      <c r="V33" s="50">
        <f t="shared" si="5"/>
        <v>2364.6</v>
      </c>
      <c r="W33" s="49">
        <v>1</v>
      </c>
      <c r="X33" s="51">
        <f t="shared" si="6"/>
        <v>98.9</v>
      </c>
      <c r="Y33" s="51">
        <f t="shared" si="7"/>
        <v>2463.5</v>
      </c>
      <c r="Z33" s="54">
        <v>142</v>
      </c>
      <c r="AA33" s="54">
        <v>10</v>
      </c>
      <c r="AB33" s="68">
        <v>7.0422535211267609E-2</v>
      </c>
      <c r="AC33" s="55">
        <f t="shared" si="8"/>
        <v>1689</v>
      </c>
      <c r="AD33" s="54">
        <v>1</v>
      </c>
      <c r="AE33" s="56">
        <f t="shared" si="9"/>
        <v>98.9</v>
      </c>
      <c r="AF33" s="56">
        <f t="shared" si="10"/>
        <v>1787.9</v>
      </c>
      <c r="AG33" s="38">
        <f t="shared" si="11"/>
        <v>7122.7</v>
      </c>
    </row>
    <row r="34" spans="2:33" x14ac:dyDescent="0.3">
      <c r="B34" s="26" t="s">
        <v>29</v>
      </c>
      <c r="C34" s="32" t="s">
        <v>16</v>
      </c>
      <c r="D34" s="32" t="s">
        <v>10</v>
      </c>
      <c r="E34" s="24">
        <v>168.9</v>
      </c>
      <c r="F34" s="24">
        <v>98.9</v>
      </c>
      <c r="G34" s="36">
        <v>4</v>
      </c>
      <c r="H34" s="37">
        <f t="shared" si="0"/>
        <v>675.6</v>
      </c>
      <c r="I34" s="36">
        <v>0</v>
      </c>
      <c r="J34" s="37">
        <f>I34*F34</f>
        <v>0</v>
      </c>
      <c r="K34" s="37">
        <f t="shared" si="1"/>
        <v>675.6</v>
      </c>
      <c r="L34" s="44">
        <v>141</v>
      </c>
      <c r="M34" s="44">
        <v>27</v>
      </c>
      <c r="N34" s="64">
        <f t="shared" si="12"/>
        <v>0.19148936170212766</v>
      </c>
      <c r="O34" s="45">
        <f t="shared" si="2"/>
        <v>4560.3</v>
      </c>
      <c r="P34" s="44">
        <v>0</v>
      </c>
      <c r="Q34" s="46">
        <f t="shared" si="3"/>
        <v>0</v>
      </c>
      <c r="R34" s="46">
        <f t="shared" si="4"/>
        <v>4560.3</v>
      </c>
      <c r="S34" s="49">
        <v>162</v>
      </c>
      <c r="T34" s="49">
        <v>14</v>
      </c>
      <c r="U34" s="66">
        <v>8.6419753086419748E-2</v>
      </c>
      <c r="V34" s="50">
        <f t="shared" si="5"/>
        <v>2364.6</v>
      </c>
      <c r="W34" s="49">
        <v>0</v>
      </c>
      <c r="X34" s="51">
        <f t="shared" si="6"/>
        <v>0</v>
      </c>
      <c r="Y34" s="51">
        <f t="shared" si="7"/>
        <v>2364.6</v>
      </c>
      <c r="Z34" s="54">
        <v>125</v>
      </c>
      <c r="AA34" s="54">
        <v>0</v>
      </c>
      <c r="AB34" s="68">
        <v>0</v>
      </c>
      <c r="AC34" s="55">
        <f t="shared" si="8"/>
        <v>0</v>
      </c>
      <c r="AD34" s="54">
        <v>0</v>
      </c>
      <c r="AE34" s="56">
        <f t="shared" si="9"/>
        <v>0</v>
      </c>
      <c r="AF34" s="56">
        <f t="shared" si="10"/>
        <v>0</v>
      </c>
      <c r="AG34" s="38">
        <f t="shared" si="11"/>
        <v>6924.9</v>
      </c>
    </row>
    <row r="35" spans="2:33" x14ac:dyDescent="0.3">
      <c r="B35" s="26" t="s">
        <v>54</v>
      </c>
      <c r="C35" s="32" t="s">
        <v>55</v>
      </c>
      <c r="D35" s="32" t="s">
        <v>10</v>
      </c>
      <c r="E35" s="24">
        <v>168.9</v>
      </c>
      <c r="F35" s="24">
        <v>98.9</v>
      </c>
      <c r="G35" s="36">
        <v>4</v>
      </c>
      <c r="H35" s="37">
        <f t="shared" si="0"/>
        <v>675.6</v>
      </c>
      <c r="I35" s="36">
        <v>0</v>
      </c>
      <c r="J35" s="37">
        <f>I35*F35</f>
        <v>0</v>
      </c>
      <c r="K35" s="37">
        <f t="shared" si="1"/>
        <v>675.6</v>
      </c>
      <c r="L35" s="44">
        <v>154</v>
      </c>
      <c r="M35" s="44">
        <v>17</v>
      </c>
      <c r="N35" s="64">
        <f t="shared" si="12"/>
        <v>0.11038961038961038</v>
      </c>
      <c r="O35" s="45">
        <f t="shared" si="2"/>
        <v>2871.3</v>
      </c>
      <c r="P35" s="44">
        <v>0</v>
      </c>
      <c r="Q35" s="46">
        <f t="shared" si="3"/>
        <v>0</v>
      </c>
      <c r="R35" s="46">
        <f t="shared" si="4"/>
        <v>2871.3</v>
      </c>
      <c r="S35" s="49">
        <v>141</v>
      </c>
      <c r="T35" s="49">
        <v>19</v>
      </c>
      <c r="U35" s="66">
        <v>0.13475177304964539</v>
      </c>
      <c r="V35" s="50">
        <f t="shared" si="5"/>
        <v>3209.1</v>
      </c>
      <c r="W35" s="49">
        <v>0</v>
      </c>
      <c r="X35" s="51">
        <f t="shared" si="6"/>
        <v>0</v>
      </c>
      <c r="Y35" s="51">
        <f t="shared" si="7"/>
        <v>3209.1</v>
      </c>
      <c r="Z35" s="54">
        <v>154</v>
      </c>
      <c r="AA35" s="54">
        <v>4</v>
      </c>
      <c r="AB35" s="68">
        <v>2.5974025974025976E-2</v>
      </c>
      <c r="AC35" s="55">
        <f t="shared" si="8"/>
        <v>675.6</v>
      </c>
      <c r="AD35" s="54">
        <v>0</v>
      </c>
      <c r="AE35" s="56">
        <f t="shared" si="9"/>
        <v>0</v>
      </c>
      <c r="AF35" s="56">
        <f t="shared" si="10"/>
        <v>675.6</v>
      </c>
      <c r="AG35" s="38">
        <f t="shared" si="11"/>
        <v>6756</v>
      </c>
    </row>
    <row r="36" spans="2:33" x14ac:dyDescent="0.3">
      <c r="B36" s="26" t="s">
        <v>115</v>
      </c>
      <c r="C36" s="32" t="s">
        <v>94</v>
      </c>
      <c r="D36" s="32" t="s">
        <v>23</v>
      </c>
      <c r="E36" s="24">
        <v>197.9</v>
      </c>
      <c r="F36" s="24">
        <v>118.9</v>
      </c>
      <c r="G36" s="36">
        <v>5</v>
      </c>
      <c r="H36" s="35">
        <f t="shared" si="0"/>
        <v>989.5</v>
      </c>
      <c r="I36" s="36">
        <v>1</v>
      </c>
      <c r="J36" s="37">
        <f>F36*I36</f>
        <v>118.9</v>
      </c>
      <c r="K36" s="37">
        <f t="shared" si="1"/>
        <v>1108.4000000000001</v>
      </c>
      <c r="L36" s="44">
        <v>139</v>
      </c>
      <c r="M36" s="44">
        <v>3</v>
      </c>
      <c r="N36" s="64">
        <f t="shared" si="12"/>
        <v>2.1582733812949641E-2</v>
      </c>
      <c r="O36" s="45">
        <f t="shared" si="2"/>
        <v>593.70000000000005</v>
      </c>
      <c r="P36" s="44">
        <v>1</v>
      </c>
      <c r="Q36" s="46">
        <f t="shared" si="3"/>
        <v>118.9</v>
      </c>
      <c r="R36" s="46">
        <f t="shared" si="4"/>
        <v>712.6</v>
      </c>
      <c r="S36" s="49">
        <v>135</v>
      </c>
      <c r="T36" s="49">
        <v>10</v>
      </c>
      <c r="U36" s="66">
        <v>7.407407407407407E-2</v>
      </c>
      <c r="V36" s="50">
        <f t="shared" si="5"/>
        <v>1979</v>
      </c>
      <c r="W36" s="49">
        <v>1</v>
      </c>
      <c r="X36" s="51">
        <f t="shared" si="6"/>
        <v>118.9</v>
      </c>
      <c r="Y36" s="51">
        <f t="shared" si="7"/>
        <v>2097.9</v>
      </c>
      <c r="Z36" s="54">
        <v>122</v>
      </c>
      <c r="AA36" s="54">
        <v>18</v>
      </c>
      <c r="AB36" s="68">
        <v>0.14754098360655737</v>
      </c>
      <c r="AC36" s="55">
        <f t="shared" si="8"/>
        <v>3562.2000000000003</v>
      </c>
      <c r="AD36" s="54">
        <v>0</v>
      </c>
      <c r="AE36" s="56">
        <f t="shared" si="9"/>
        <v>0</v>
      </c>
      <c r="AF36" s="56">
        <f t="shared" si="10"/>
        <v>3562.2000000000003</v>
      </c>
      <c r="AG36" s="38">
        <f t="shared" si="11"/>
        <v>6372.7000000000007</v>
      </c>
    </row>
    <row r="37" spans="2:33" x14ac:dyDescent="0.3">
      <c r="B37" s="26" t="s">
        <v>88</v>
      </c>
      <c r="C37" s="32" t="s">
        <v>87</v>
      </c>
      <c r="D37" s="32" t="s">
        <v>23</v>
      </c>
      <c r="E37" s="24">
        <v>197.9</v>
      </c>
      <c r="F37" s="24">
        <v>118.9</v>
      </c>
      <c r="G37" s="36">
        <v>2</v>
      </c>
      <c r="H37" s="35">
        <f t="shared" si="0"/>
        <v>395.8</v>
      </c>
      <c r="I37" s="36">
        <v>0</v>
      </c>
      <c r="J37" s="37">
        <f>F37*I37</f>
        <v>0</v>
      </c>
      <c r="K37" s="37">
        <f t="shared" si="1"/>
        <v>395.8</v>
      </c>
      <c r="L37" s="44">
        <v>124</v>
      </c>
      <c r="M37" s="44">
        <v>7</v>
      </c>
      <c r="N37" s="64">
        <f t="shared" si="12"/>
        <v>5.6451612903225805E-2</v>
      </c>
      <c r="O37" s="45">
        <f t="shared" si="2"/>
        <v>1385.3</v>
      </c>
      <c r="P37" s="44">
        <v>2</v>
      </c>
      <c r="Q37" s="46">
        <f t="shared" si="3"/>
        <v>237.8</v>
      </c>
      <c r="R37" s="46">
        <f t="shared" si="4"/>
        <v>1623.1</v>
      </c>
      <c r="S37" s="49">
        <v>118</v>
      </c>
      <c r="T37" s="49">
        <v>11</v>
      </c>
      <c r="U37" s="66">
        <v>9.3220338983050849E-2</v>
      </c>
      <c r="V37" s="50">
        <f t="shared" si="5"/>
        <v>2176.9</v>
      </c>
      <c r="W37" s="49">
        <v>2</v>
      </c>
      <c r="X37" s="51">
        <f t="shared" si="6"/>
        <v>237.8</v>
      </c>
      <c r="Y37" s="51">
        <f t="shared" si="7"/>
        <v>2414.7000000000003</v>
      </c>
      <c r="Z37" s="54">
        <v>214</v>
      </c>
      <c r="AA37" s="54">
        <v>11</v>
      </c>
      <c r="AB37" s="68">
        <v>5.1401869158878503E-2</v>
      </c>
      <c r="AC37" s="55">
        <f t="shared" si="8"/>
        <v>2176.9</v>
      </c>
      <c r="AD37" s="54">
        <v>0</v>
      </c>
      <c r="AE37" s="56">
        <f t="shared" si="9"/>
        <v>0</v>
      </c>
      <c r="AF37" s="56">
        <f t="shared" si="10"/>
        <v>2176.9</v>
      </c>
      <c r="AG37" s="38">
        <f t="shared" si="11"/>
        <v>6214.7000000000007</v>
      </c>
    </row>
    <row r="38" spans="2:33" x14ac:dyDescent="0.3">
      <c r="B38" s="29" t="s">
        <v>15</v>
      </c>
      <c r="C38" s="32" t="s">
        <v>16</v>
      </c>
      <c r="D38" s="32" t="s">
        <v>10</v>
      </c>
      <c r="E38" s="24">
        <v>168.9</v>
      </c>
      <c r="F38" s="24">
        <v>98.9</v>
      </c>
      <c r="G38" s="36">
        <v>0</v>
      </c>
      <c r="H38" s="37">
        <f t="shared" si="0"/>
        <v>0</v>
      </c>
      <c r="I38" s="36">
        <v>0</v>
      </c>
      <c r="J38" s="37">
        <f>I38*F38</f>
        <v>0</v>
      </c>
      <c r="K38" s="37">
        <f t="shared" si="1"/>
        <v>0</v>
      </c>
      <c r="L38" s="44">
        <v>124</v>
      </c>
      <c r="M38" s="44">
        <v>0</v>
      </c>
      <c r="N38" s="64">
        <f t="shared" si="12"/>
        <v>0</v>
      </c>
      <c r="O38" s="45">
        <f t="shared" si="2"/>
        <v>0</v>
      </c>
      <c r="P38" s="44">
        <v>0</v>
      </c>
      <c r="Q38" s="46">
        <f t="shared" si="3"/>
        <v>0</v>
      </c>
      <c r="R38" s="46">
        <v>0</v>
      </c>
      <c r="S38" s="49">
        <v>138</v>
      </c>
      <c r="T38" s="49">
        <v>12</v>
      </c>
      <c r="U38" s="66">
        <v>8.6956521739130432E-2</v>
      </c>
      <c r="V38" s="50">
        <f t="shared" si="5"/>
        <v>2026.8000000000002</v>
      </c>
      <c r="W38" s="49">
        <v>0</v>
      </c>
      <c r="X38" s="51">
        <f t="shared" si="6"/>
        <v>0</v>
      </c>
      <c r="Y38" s="51">
        <f t="shared" si="7"/>
        <v>2026.8000000000002</v>
      </c>
      <c r="Z38" s="54">
        <v>240</v>
      </c>
      <c r="AA38" s="54">
        <v>21</v>
      </c>
      <c r="AB38" s="68">
        <v>8.7499999999999994E-2</v>
      </c>
      <c r="AC38" s="55">
        <f t="shared" ref="AC38:AC56" si="13">AA38*E38</f>
        <v>3546.9</v>
      </c>
      <c r="AD38" s="54">
        <v>3</v>
      </c>
      <c r="AE38" s="56">
        <f t="shared" si="9"/>
        <v>296.70000000000005</v>
      </c>
      <c r="AF38" s="56">
        <f t="shared" ref="AF38:AF56" si="14">AE38+AC38</f>
        <v>3843.6000000000004</v>
      </c>
      <c r="AG38" s="38">
        <f t="shared" ref="AG38:AG56" si="15">AF38+Y38+R38</f>
        <v>5870.4000000000005</v>
      </c>
    </row>
    <row r="39" spans="2:33" x14ac:dyDescent="0.3">
      <c r="B39" s="26" t="s">
        <v>68</v>
      </c>
      <c r="C39" s="32" t="s">
        <v>35</v>
      </c>
      <c r="D39" s="32" t="s">
        <v>69</v>
      </c>
      <c r="E39" s="24">
        <v>168.9</v>
      </c>
      <c r="F39" s="24">
        <v>0</v>
      </c>
      <c r="G39" s="36">
        <v>1</v>
      </c>
      <c r="H39" s="37">
        <f t="shared" si="0"/>
        <v>168.9</v>
      </c>
      <c r="I39" s="36">
        <v>0</v>
      </c>
      <c r="J39" s="37">
        <f>I39*F39</f>
        <v>0</v>
      </c>
      <c r="K39" s="37">
        <f t="shared" si="1"/>
        <v>168.9</v>
      </c>
      <c r="L39" s="44">
        <v>172</v>
      </c>
      <c r="M39" s="44">
        <v>2</v>
      </c>
      <c r="N39" s="64">
        <f t="shared" si="12"/>
        <v>1.1627906976744186E-2</v>
      </c>
      <c r="O39" s="45">
        <f t="shared" si="2"/>
        <v>337.8</v>
      </c>
      <c r="P39" s="44"/>
      <c r="Q39" s="46">
        <f t="shared" si="3"/>
        <v>0</v>
      </c>
      <c r="R39" s="46">
        <f t="shared" ref="R39:R49" si="16">Q39+O39</f>
        <v>337.8</v>
      </c>
      <c r="S39" s="49">
        <v>179</v>
      </c>
      <c r="T39" s="49">
        <v>14</v>
      </c>
      <c r="U39" s="66">
        <v>7.8212290502793297E-2</v>
      </c>
      <c r="V39" s="50">
        <f t="shared" si="5"/>
        <v>2364.6</v>
      </c>
      <c r="W39" s="49">
        <v>0</v>
      </c>
      <c r="X39" s="51">
        <f t="shared" si="6"/>
        <v>0</v>
      </c>
      <c r="Y39" s="51">
        <f t="shared" si="7"/>
        <v>2364.6</v>
      </c>
      <c r="Z39" s="54">
        <v>162</v>
      </c>
      <c r="AA39" s="54">
        <v>17</v>
      </c>
      <c r="AB39" s="68">
        <v>0.10493827160493827</v>
      </c>
      <c r="AC39" s="55">
        <f t="shared" si="13"/>
        <v>2871.3</v>
      </c>
      <c r="AD39" s="54">
        <v>0</v>
      </c>
      <c r="AE39" s="56">
        <f t="shared" si="9"/>
        <v>0</v>
      </c>
      <c r="AF39" s="56">
        <f t="shared" si="14"/>
        <v>2871.3</v>
      </c>
      <c r="AG39" s="38">
        <f t="shared" si="15"/>
        <v>5573.7</v>
      </c>
    </row>
    <row r="40" spans="2:33" x14ac:dyDescent="0.3">
      <c r="B40" s="26" t="s">
        <v>30</v>
      </c>
      <c r="C40" s="32" t="s">
        <v>16</v>
      </c>
      <c r="D40" s="32" t="s">
        <v>10</v>
      </c>
      <c r="E40" s="24">
        <v>168.9</v>
      </c>
      <c r="F40" s="24">
        <v>98.9</v>
      </c>
      <c r="G40" s="36">
        <v>5</v>
      </c>
      <c r="H40" s="37">
        <f t="shared" si="0"/>
        <v>844.5</v>
      </c>
      <c r="I40" s="36">
        <v>0</v>
      </c>
      <c r="J40" s="37">
        <f>I40*F40</f>
        <v>0</v>
      </c>
      <c r="K40" s="37">
        <f t="shared" si="1"/>
        <v>844.5</v>
      </c>
      <c r="L40" s="44">
        <v>159</v>
      </c>
      <c r="M40" s="44">
        <v>14</v>
      </c>
      <c r="N40" s="64">
        <f t="shared" si="12"/>
        <v>8.8050314465408799E-2</v>
      </c>
      <c r="O40" s="45">
        <f t="shared" si="2"/>
        <v>2364.6</v>
      </c>
      <c r="P40" s="44">
        <v>0</v>
      </c>
      <c r="Q40" s="46">
        <f t="shared" si="3"/>
        <v>0</v>
      </c>
      <c r="R40" s="46">
        <f t="shared" si="16"/>
        <v>2364.6</v>
      </c>
      <c r="S40" s="49">
        <v>156</v>
      </c>
      <c r="T40" s="49">
        <v>9</v>
      </c>
      <c r="U40" s="66">
        <v>5.7692307692307696E-2</v>
      </c>
      <c r="V40" s="50">
        <f t="shared" si="5"/>
        <v>1520.1000000000001</v>
      </c>
      <c r="W40" s="49">
        <v>0</v>
      </c>
      <c r="X40" s="51">
        <f t="shared" si="6"/>
        <v>0</v>
      </c>
      <c r="Y40" s="51">
        <f t="shared" si="7"/>
        <v>1520.1000000000001</v>
      </c>
      <c r="Z40" s="54">
        <v>163</v>
      </c>
      <c r="AA40" s="54">
        <v>4</v>
      </c>
      <c r="AB40" s="68">
        <v>2.4539877300613498E-2</v>
      </c>
      <c r="AC40" s="55">
        <f t="shared" si="13"/>
        <v>675.6</v>
      </c>
      <c r="AD40" s="54">
        <v>2</v>
      </c>
      <c r="AE40" s="56">
        <f t="shared" si="9"/>
        <v>197.8</v>
      </c>
      <c r="AF40" s="56">
        <f t="shared" si="14"/>
        <v>873.40000000000009</v>
      </c>
      <c r="AG40" s="38">
        <f t="shared" si="15"/>
        <v>4758.1000000000004</v>
      </c>
    </row>
    <row r="41" spans="2:33" x14ac:dyDescent="0.3">
      <c r="B41" s="26" t="s">
        <v>83</v>
      </c>
      <c r="C41" s="32" t="s">
        <v>55</v>
      </c>
      <c r="D41" s="32" t="s">
        <v>23</v>
      </c>
      <c r="E41" s="24">
        <v>197.9</v>
      </c>
      <c r="F41" s="24">
        <v>118.9</v>
      </c>
      <c r="G41" s="36">
        <v>2</v>
      </c>
      <c r="H41" s="35">
        <f t="shared" si="0"/>
        <v>395.8</v>
      </c>
      <c r="I41" s="36">
        <v>2</v>
      </c>
      <c r="J41" s="37">
        <f>F41*I41</f>
        <v>237.8</v>
      </c>
      <c r="K41" s="37">
        <f t="shared" si="1"/>
        <v>633.6</v>
      </c>
      <c r="L41" s="44">
        <v>117</v>
      </c>
      <c r="M41" s="44">
        <v>1</v>
      </c>
      <c r="N41" s="64">
        <f t="shared" si="12"/>
        <v>8.5470085470085479E-3</v>
      </c>
      <c r="O41" s="45">
        <f t="shared" si="2"/>
        <v>197.9</v>
      </c>
      <c r="P41" s="44">
        <v>1</v>
      </c>
      <c r="Q41" s="46">
        <f t="shared" si="3"/>
        <v>118.9</v>
      </c>
      <c r="R41" s="46">
        <f t="shared" si="16"/>
        <v>316.8</v>
      </c>
      <c r="S41" s="49">
        <v>172</v>
      </c>
      <c r="T41" s="49">
        <v>0</v>
      </c>
      <c r="U41" s="66">
        <v>0</v>
      </c>
      <c r="V41" s="50">
        <f t="shared" si="5"/>
        <v>0</v>
      </c>
      <c r="W41" s="49">
        <v>0</v>
      </c>
      <c r="X41" s="51">
        <f t="shared" si="6"/>
        <v>0</v>
      </c>
      <c r="Y41" s="51">
        <f t="shared" si="7"/>
        <v>0</v>
      </c>
      <c r="Z41" s="54">
        <v>126</v>
      </c>
      <c r="AA41" s="54">
        <v>13</v>
      </c>
      <c r="AB41" s="68">
        <v>0.10317460317460317</v>
      </c>
      <c r="AC41" s="55">
        <f t="shared" si="13"/>
        <v>2572.7000000000003</v>
      </c>
      <c r="AD41" s="54">
        <v>13</v>
      </c>
      <c r="AE41" s="56">
        <f t="shared" si="9"/>
        <v>1545.7</v>
      </c>
      <c r="AF41" s="56">
        <f t="shared" si="14"/>
        <v>4118.4000000000005</v>
      </c>
      <c r="AG41" s="38">
        <f t="shared" si="15"/>
        <v>4435.2000000000007</v>
      </c>
    </row>
    <row r="42" spans="2:33" x14ac:dyDescent="0.3">
      <c r="B42" s="28" t="s">
        <v>44</v>
      </c>
      <c r="C42" s="27" t="s">
        <v>35</v>
      </c>
      <c r="D42" s="27" t="s">
        <v>10</v>
      </c>
      <c r="E42" s="24">
        <v>168.9</v>
      </c>
      <c r="F42" s="24">
        <v>98.9</v>
      </c>
      <c r="G42" s="36">
        <v>0</v>
      </c>
      <c r="H42" s="37">
        <f t="shared" si="0"/>
        <v>0</v>
      </c>
      <c r="I42" s="36">
        <v>0</v>
      </c>
      <c r="J42" s="37">
        <f>I42*F42</f>
        <v>0</v>
      </c>
      <c r="K42" s="37">
        <f t="shared" si="1"/>
        <v>0</v>
      </c>
      <c r="L42" s="44">
        <v>110</v>
      </c>
      <c r="M42" s="44">
        <v>2</v>
      </c>
      <c r="N42" s="64">
        <f t="shared" si="12"/>
        <v>1.8181818181818181E-2</v>
      </c>
      <c r="O42" s="45">
        <f t="shared" si="2"/>
        <v>337.8</v>
      </c>
      <c r="P42" s="44">
        <v>0</v>
      </c>
      <c r="Q42" s="46">
        <f t="shared" si="3"/>
        <v>0</v>
      </c>
      <c r="R42" s="46">
        <f t="shared" si="16"/>
        <v>337.8</v>
      </c>
      <c r="S42" s="49">
        <v>187</v>
      </c>
      <c r="T42" s="49">
        <v>9</v>
      </c>
      <c r="U42" s="66">
        <v>4.8128342245989303E-2</v>
      </c>
      <c r="V42" s="50">
        <f t="shared" si="5"/>
        <v>1520.1000000000001</v>
      </c>
      <c r="W42" s="49">
        <v>0</v>
      </c>
      <c r="X42" s="51">
        <f t="shared" si="6"/>
        <v>0</v>
      </c>
      <c r="Y42" s="51">
        <f t="shared" si="7"/>
        <v>1520.1000000000001</v>
      </c>
      <c r="Z42" s="54">
        <v>227</v>
      </c>
      <c r="AA42" s="54">
        <v>13</v>
      </c>
      <c r="AB42" s="68">
        <v>5.7268722466960353E-2</v>
      </c>
      <c r="AC42" s="55">
        <f t="shared" si="13"/>
        <v>2195.7000000000003</v>
      </c>
      <c r="AD42" s="54">
        <v>0</v>
      </c>
      <c r="AE42" s="56">
        <f t="shared" si="9"/>
        <v>0</v>
      </c>
      <c r="AF42" s="56">
        <f t="shared" si="14"/>
        <v>2195.7000000000003</v>
      </c>
      <c r="AG42" s="38">
        <f t="shared" si="15"/>
        <v>4053.6000000000004</v>
      </c>
    </row>
    <row r="43" spans="2:33" x14ac:dyDescent="0.3">
      <c r="B43" s="26" t="s">
        <v>72</v>
      </c>
      <c r="C43" s="32" t="s">
        <v>60</v>
      </c>
      <c r="D43" s="32" t="s">
        <v>23</v>
      </c>
      <c r="E43" s="24">
        <v>197.9</v>
      </c>
      <c r="F43" s="24">
        <v>118.9</v>
      </c>
      <c r="G43" s="36">
        <v>2</v>
      </c>
      <c r="H43" s="35">
        <f t="shared" si="0"/>
        <v>395.8</v>
      </c>
      <c r="I43" s="36">
        <v>0</v>
      </c>
      <c r="J43" s="37">
        <f>F43*I43</f>
        <v>0</v>
      </c>
      <c r="K43" s="37">
        <f t="shared" si="1"/>
        <v>395.8</v>
      </c>
      <c r="L43" s="44">
        <v>155</v>
      </c>
      <c r="M43" s="44">
        <v>2</v>
      </c>
      <c r="N43" s="64">
        <f t="shared" si="12"/>
        <v>1.2903225806451613E-2</v>
      </c>
      <c r="O43" s="45">
        <f t="shared" si="2"/>
        <v>395.8</v>
      </c>
      <c r="P43" s="44">
        <v>1</v>
      </c>
      <c r="Q43" s="46">
        <f t="shared" si="3"/>
        <v>118.9</v>
      </c>
      <c r="R43" s="46">
        <f t="shared" si="16"/>
        <v>514.70000000000005</v>
      </c>
      <c r="S43" s="49">
        <v>151</v>
      </c>
      <c r="T43" s="49">
        <v>6</v>
      </c>
      <c r="U43" s="66">
        <v>3.9735099337748346E-2</v>
      </c>
      <c r="V43" s="50">
        <f t="shared" si="5"/>
        <v>1187.4000000000001</v>
      </c>
      <c r="W43" s="49">
        <v>2</v>
      </c>
      <c r="X43" s="51">
        <f t="shared" si="6"/>
        <v>237.8</v>
      </c>
      <c r="Y43" s="51">
        <f t="shared" si="7"/>
        <v>1425.2</v>
      </c>
      <c r="Z43" s="54">
        <v>141</v>
      </c>
      <c r="AA43" s="54">
        <v>9</v>
      </c>
      <c r="AB43" s="68">
        <v>6.3829787234042548E-2</v>
      </c>
      <c r="AC43" s="55">
        <f t="shared" si="13"/>
        <v>1781.1000000000001</v>
      </c>
      <c r="AD43" s="54">
        <v>0</v>
      </c>
      <c r="AE43" s="56">
        <f t="shared" si="9"/>
        <v>0</v>
      </c>
      <c r="AF43" s="56">
        <f t="shared" si="14"/>
        <v>1781.1000000000001</v>
      </c>
      <c r="AG43" s="38">
        <f t="shared" si="15"/>
        <v>3721</v>
      </c>
    </row>
    <row r="44" spans="2:33" x14ac:dyDescent="0.3">
      <c r="B44" s="26" t="s">
        <v>56</v>
      </c>
      <c r="C44" s="32" t="s">
        <v>55</v>
      </c>
      <c r="D44" s="32" t="s">
        <v>10</v>
      </c>
      <c r="E44" s="24">
        <v>168.9</v>
      </c>
      <c r="F44" s="24">
        <v>98.9</v>
      </c>
      <c r="G44" s="36">
        <v>12</v>
      </c>
      <c r="H44" s="37">
        <f t="shared" si="0"/>
        <v>2026.8000000000002</v>
      </c>
      <c r="I44" s="36">
        <v>0</v>
      </c>
      <c r="J44" s="37">
        <f>I44*F44</f>
        <v>0</v>
      </c>
      <c r="K44" s="37">
        <f t="shared" si="1"/>
        <v>2026.8000000000002</v>
      </c>
      <c r="L44" s="44">
        <v>124</v>
      </c>
      <c r="M44" s="44">
        <v>10</v>
      </c>
      <c r="N44" s="64">
        <f t="shared" si="12"/>
        <v>8.0645161290322578E-2</v>
      </c>
      <c r="O44" s="45">
        <f t="shared" si="2"/>
        <v>1689</v>
      </c>
      <c r="P44" s="44">
        <v>0</v>
      </c>
      <c r="Q44" s="46">
        <f t="shared" si="3"/>
        <v>0</v>
      </c>
      <c r="R44" s="46">
        <f t="shared" si="16"/>
        <v>1689</v>
      </c>
      <c r="S44" s="49">
        <v>113</v>
      </c>
      <c r="T44" s="49">
        <v>2</v>
      </c>
      <c r="U44" s="66">
        <v>1.7699115044247787E-2</v>
      </c>
      <c r="V44" s="50">
        <f t="shared" si="5"/>
        <v>337.8</v>
      </c>
      <c r="W44" s="49">
        <v>0</v>
      </c>
      <c r="X44" s="51">
        <f t="shared" si="6"/>
        <v>0</v>
      </c>
      <c r="Y44" s="51">
        <f t="shared" si="7"/>
        <v>337.8</v>
      </c>
      <c r="Z44" s="54">
        <v>223</v>
      </c>
      <c r="AA44" s="54">
        <v>8</v>
      </c>
      <c r="AB44" s="68">
        <v>3.5874439461883408E-2</v>
      </c>
      <c r="AC44" s="55">
        <f t="shared" si="13"/>
        <v>1351.2</v>
      </c>
      <c r="AD44" s="54">
        <v>1</v>
      </c>
      <c r="AE44" s="56">
        <f t="shared" si="9"/>
        <v>98.9</v>
      </c>
      <c r="AF44" s="56">
        <f t="shared" si="14"/>
        <v>1450.1000000000001</v>
      </c>
      <c r="AG44" s="38">
        <f t="shared" si="15"/>
        <v>3476.9</v>
      </c>
    </row>
    <row r="45" spans="2:33" x14ac:dyDescent="0.3">
      <c r="B45" s="26" t="s">
        <v>89</v>
      </c>
      <c r="C45" s="32" t="s">
        <v>87</v>
      </c>
      <c r="D45" s="32" t="s">
        <v>23</v>
      </c>
      <c r="E45" s="24">
        <v>197.9</v>
      </c>
      <c r="F45" s="24">
        <v>118.9</v>
      </c>
      <c r="G45" s="36">
        <v>0</v>
      </c>
      <c r="H45" s="35">
        <f t="shared" si="0"/>
        <v>0</v>
      </c>
      <c r="I45" s="36">
        <v>0</v>
      </c>
      <c r="J45" s="37">
        <f>F45*I45</f>
        <v>0</v>
      </c>
      <c r="K45" s="37">
        <f t="shared" si="1"/>
        <v>0</v>
      </c>
      <c r="L45" s="44">
        <v>132</v>
      </c>
      <c r="M45" s="44">
        <v>0</v>
      </c>
      <c r="N45" s="64">
        <f t="shared" si="12"/>
        <v>0</v>
      </c>
      <c r="O45" s="45">
        <f t="shared" si="2"/>
        <v>0</v>
      </c>
      <c r="P45" s="44">
        <v>0</v>
      </c>
      <c r="Q45" s="46">
        <f t="shared" si="3"/>
        <v>0</v>
      </c>
      <c r="R45" s="46">
        <f t="shared" si="16"/>
        <v>0</v>
      </c>
      <c r="S45" s="49">
        <v>120</v>
      </c>
      <c r="T45" s="49">
        <v>5</v>
      </c>
      <c r="U45" s="66">
        <v>4.1666666666666664E-2</v>
      </c>
      <c r="V45" s="50">
        <f t="shared" si="5"/>
        <v>989.5</v>
      </c>
      <c r="W45" s="49">
        <v>2</v>
      </c>
      <c r="X45" s="51">
        <f t="shared" si="6"/>
        <v>237.8</v>
      </c>
      <c r="Y45" s="51">
        <f t="shared" si="7"/>
        <v>1227.3</v>
      </c>
      <c r="Z45" s="54">
        <v>141</v>
      </c>
      <c r="AA45" s="54">
        <v>6</v>
      </c>
      <c r="AB45" s="68">
        <v>4.2553191489361701E-2</v>
      </c>
      <c r="AC45" s="55">
        <f t="shared" si="13"/>
        <v>1187.4000000000001</v>
      </c>
      <c r="AD45" s="54">
        <v>4</v>
      </c>
      <c r="AE45" s="56">
        <f t="shared" si="9"/>
        <v>475.6</v>
      </c>
      <c r="AF45" s="56">
        <f t="shared" si="14"/>
        <v>1663</v>
      </c>
      <c r="AG45" s="38">
        <f t="shared" si="15"/>
        <v>2890.3</v>
      </c>
    </row>
    <row r="46" spans="2:33" x14ac:dyDescent="0.3">
      <c r="B46" s="26" t="s">
        <v>98</v>
      </c>
      <c r="C46" s="32" t="s">
        <v>94</v>
      </c>
      <c r="D46" s="32" t="s">
        <v>23</v>
      </c>
      <c r="E46" s="24">
        <v>197.9</v>
      </c>
      <c r="F46" s="24">
        <v>118.9</v>
      </c>
      <c r="G46" s="36">
        <v>0</v>
      </c>
      <c r="H46" s="35">
        <f t="shared" si="0"/>
        <v>0</v>
      </c>
      <c r="I46" s="36">
        <v>1</v>
      </c>
      <c r="J46" s="37">
        <f>F46*I46</f>
        <v>118.9</v>
      </c>
      <c r="K46" s="37">
        <f t="shared" si="1"/>
        <v>118.9</v>
      </c>
      <c r="L46" s="44">
        <v>166</v>
      </c>
      <c r="M46" s="44">
        <v>4</v>
      </c>
      <c r="N46" s="64">
        <f t="shared" si="12"/>
        <v>2.4096385542168676E-2</v>
      </c>
      <c r="O46" s="45">
        <f t="shared" si="2"/>
        <v>791.6</v>
      </c>
      <c r="P46" s="44">
        <v>1</v>
      </c>
      <c r="Q46" s="46">
        <f t="shared" si="3"/>
        <v>118.9</v>
      </c>
      <c r="R46" s="46">
        <f t="shared" si="16"/>
        <v>910.5</v>
      </c>
      <c r="S46" s="49">
        <v>120</v>
      </c>
      <c r="T46" s="49">
        <v>4</v>
      </c>
      <c r="U46" s="66">
        <v>3.3333333333333333E-2</v>
      </c>
      <c r="V46" s="50">
        <f t="shared" si="5"/>
        <v>791.6</v>
      </c>
      <c r="W46" s="49">
        <v>0</v>
      </c>
      <c r="X46" s="51">
        <f t="shared" si="6"/>
        <v>0</v>
      </c>
      <c r="Y46" s="51">
        <f t="shared" si="7"/>
        <v>791.6</v>
      </c>
      <c r="Z46" s="54">
        <v>210</v>
      </c>
      <c r="AA46" s="54">
        <v>6</v>
      </c>
      <c r="AB46" s="68">
        <v>2.8571428571428571E-2</v>
      </c>
      <c r="AC46" s="55">
        <f t="shared" si="13"/>
        <v>1187.4000000000001</v>
      </c>
      <c r="AD46" s="54">
        <v>0</v>
      </c>
      <c r="AE46" s="56">
        <f t="shared" si="9"/>
        <v>0</v>
      </c>
      <c r="AF46" s="56">
        <f t="shared" si="14"/>
        <v>1187.4000000000001</v>
      </c>
      <c r="AG46" s="38">
        <f t="shared" si="15"/>
        <v>2889.5</v>
      </c>
    </row>
    <row r="47" spans="2:33" x14ac:dyDescent="0.3">
      <c r="B47" s="26" t="s">
        <v>97</v>
      </c>
      <c r="C47" s="32" t="s">
        <v>94</v>
      </c>
      <c r="D47" s="32" t="s">
        <v>23</v>
      </c>
      <c r="E47" s="24">
        <v>197.9</v>
      </c>
      <c r="F47" s="24">
        <v>118.9</v>
      </c>
      <c r="G47" s="36">
        <v>0</v>
      </c>
      <c r="H47" s="35">
        <f t="shared" si="0"/>
        <v>0</v>
      </c>
      <c r="I47" s="36">
        <v>0</v>
      </c>
      <c r="J47" s="37">
        <f>F47*I47</f>
        <v>0</v>
      </c>
      <c r="K47" s="37">
        <f t="shared" si="1"/>
        <v>0</v>
      </c>
      <c r="L47" s="44">
        <v>180</v>
      </c>
      <c r="M47" s="44">
        <v>3</v>
      </c>
      <c r="N47" s="64">
        <f t="shared" si="12"/>
        <v>1.6666666666666666E-2</v>
      </c>
      <c r="O47" s="45">
        <f t="shared" si="2"/>
        <v>593.70000000000005</v>
      </c>
      <c r="P47" s="44">
        <v>0</v>
      </c>
      <c r="Q47" s="46">
        <f t="shared" si="3"/>
        <v>0</v>
      </c>
      <c r="R47" s="46">
        <f t="shared" si="16"/>
        <v>593.70000000000005</v>
      </c>
      <c r="S47" s="49">
        <v>144</v>
      </c>
      <c r="T47" s="49">
        <v>5</v>
      </c>
      <c r="U47" s="66">
        <v>3.4722222222222224E-2</v>
      </c>
      <c r="V47" s="50">
        <f t="shared" si="5"/>
        <v>989.5</v>
      </c>
      <c r="W47" s="49">
        <v>1</v>
      </c>
      <c r="X47" s="51">
        <f t="shared" si="6"/>
        <v>118.9</v>
      </c>
      <c r="Y47" s="51">
        <f t="shared" si="7"/>
        <v>1108.4000000000001</v>
      </c>
      <c r="Z47" s="54">
        <v>152</v>
      </c>
      <c r="AA47" s="54">
        <v>6</v>
      </c>
      <c r="AB47" s="68">
        <v>3.9473684210526314E-2</v>
      </c>
      <c r="AC47" s="55">
        <f t="shared" si="13"/>
        <v>1187.4000000000001</v>
      </c>
      <c r="AD47" s="54">
        <v>0</v>
      </c>
      <c r="AE47" s="56">
        <f t="shared" si="9"/>
        <v>0</v>
      </c>
      <c r="AF47" s="56">
        <f t="shared" si="14"/>
        <v>1187.4000000000001</v>
      </c>
      <c r="AG47" s="38">
        <f t="shared" si="15"/>
        <v>2889.5</v>
      </c>
    </row>
    <row r="48" spans="2:33" x14ac:dyDescent="0.3">
      <c r="B48" s="26" t="s">
        <v>73</v>
      </c>
      <c r="C48" s="32" t="s">
        <v>35</v>
      </c>
      <c r="D48" s="32" t="s">
        <v>69</v>
      </c>
      <c r="E48" s="24">
        <v>168.9</v>
      </c>
      <c r="F48" s="24">
        <v>0</v>
      </c>
      <c r="G48" s="36">
        <v>0</v>
      </c>
      <c r="H48" s="37">
        <f t="shared" si="0"/>
        <v>0</v>
      </c>
      <c r="I48" s="36">
        <v>0</v>
      </c>
      <c r="J48" s="37">
        <f>I48*F48</f>
        <v>0</v>
      </c>
      <c r="K48" s="37">
        <f t="shared" si="1"/>
        <v>0</v>
      </c>
      <c r="L48" s="44">
        <v>164</v>
      </c>
      <c r="M48" s="44">
        <v>1</v>
      </c>
      <c r="N48" s="64">
        <f t="shared" si="12"/>
        <v>6.0975609756097563E-3</v>
      </c>
      <c r="O48" s="45">
        <f t="shared" si="2"/>
        <v>168.9</v>
      </c>
      <c r="P48" s="44"/>
      <c r="Q48" s="46">
        <f t="shared" si="3"/>
        <v>0</v>
      </c>
      <c r="R48" s="46">
        <f t="shared" si="16"/>
        <v>168.9</v>
      </c>
      <c r="S48" s="49">
        <v>111</v>
      </c>
      <c r="T48" s="49">
        <v>11</v>
      </c>
      <c r="U48" s="66">
        <v>9.90990990990991E-2</v>
      </c>
      <c r="V48" s="50">
        <f t="shared" si="5"/>
        <v>1857.9</v>
      </c>
      <c r="W48" s="49">
        <v>0</v>
      </c>
      <c r="X48" s="51">
        <f t="shared" si="6"/>
        <v>0</v>
      </c>
      <c r="Y48" s="51">
        <f t="shared" si="7"/>
        <v>1857.9</v>
      </c>
      <c r="Z48" s="54">
        <v>127</v>
      </c>
      <c r="AA48" s="54">
        <v>3</v>
      </c>
      <c r="AB48" s="68">
        <v>2.3622047244094488E-2</v>
      </c>
      <c r="AC48" s="55">
        <f t="shared" si="13"/>
        <v>506.70000000000005</v>
      </c>
      <c r="AD48" s="54">
        <v>0</v>
      </c>
      <c r="AE48" s="56">
        <f t="shared" si="9"/>
        <v>0</v>
      </c>
      <c r="AF48" s="56">
        <f t="shared" si="14"/>
        <v>506.70000000000005</v>
      </c>
      <c r="AG48" s="38">
        <f t="shared" si="15"/>
        <v>2533.5000000000005</v>
      </c>
    </row>
    <row r="49" spans="2:33" x14ac:dyDescent="0.3">
      <c r="B49" s="26" t="s">
        <v>112</v>
      </c>
      <c r="C49" s="32" t="s">
        <v>55</v>
      </c>
      <c r="D49" s="32" t="s">
        <v>23</v>
      </c>
      <c r="E49" s="24">
        <v>197.9</v>
      </c>
      <c r="F49" s="24">
        <v>118.9</v>
      </c>
      <c r="G49" s="36">
        <v>0</v>
      </c>
      <c r="H49" s="35">
        <f t="shared" si="0"/>
        <v>0</v>
      </c>
      <c r="I49" s="36"/>
      <c r="J49" s="37">
        <f>F49*I49</f>
        <v>0</v>
      </c>
      <c r="K49" s="37">
        <f t="shared" si="1"/>
        <v>0</v>
      </c>
      <c r="L49" s="44">
        <v>156</v>
      </c>
      <c r="M49" s="61">
        <v>1</v>
      </c>
      <c r="N49" s="64">
        <f t="shared" si="12"/>
        <v>6.41025641025641E-3</v>
      </c>
      <c r="O49" s="45">
        <f t="shared" si="2"/>
        <v>197.9</v>
      </c>
      <c r="P49" s="44">
        <v>1</v>
      </c>
      <c r="Q49" s="46">
        <f t="shared" si="3"/>
        <v>118.9</v>
      </c>
      <c r="R49" s="46">
        <f t="shared" si="16"/>
        <v>316.8</v>
      </c>
      <c r="S49" s="49">
        <v>109</v>
      </c>
      <c r="T49" s="49">
        <v>6</v>
      </c>
      <c r="U49" s="66">
        <v>5.5045871559633031E-2</v>
      </c>
      <c r="V49" s="50">
        <f t="shared" si="5"/>
        <v>1187.4000000000001</v>
      </c>
      <c r="W49" s="49">
        <v>4</v>
      </c>
      <c r="X49" s="51">
        <f t="shared" si="6"/>
        <v>475.6</v>
      </c>
      <c r="Y49" s="51">
        <f t="shared" si="7"/>
        <v>1663</v>
      </c>
      <c r="Z49" s="54">
        <v>167</v>
      </c>
      <c r="AA49" s="54">
        <v>0</v>
      </c>
      <c r="AB49" s="68">
        <v>0</v>
      </c>
      <c r="AC49" s="55">
        <f t="shared" si="13"/>
        <v>0</v>
      </c>
      <c r="AD49" s="54">
        <v>0</v>
      </c>
      <c r="AE49" s="56">
        <f t="shared" si="9"/>
        <v>0</v>
      </c>
      <c r="AF49" s="56">
        <f t="shared" si="14"/>
        <v>0</v>
      </c>
      <c r="AG49" s="38">
        <f t="shared" si="15"/>
        <v>1979.8</v>
      </c>
    </row>
    <row r="50" spans="2:33" x14ac:dyDescent="0.3">
      <c r="B50" s="26" t="s">
        <v>119</v>
      </c>
      <c r="C50" s="32" t="s">
        <v>55</v>
      </c>
      <c r="D50" s="32" t="s">
        <v>23</v>
      </c>
      <c r="E50" s="24">
        <v>197.9</v>
      </c>
      <c r="F50" s="24">
        <v>118.9</v>
      </c>
      <c r="G50" s="54"/>
      <c r="H50" s="55">
        <v>0</v>
      </c>
      <c r="I50" s="54"/>
      <c r="J50" s="56">
        <v>0</v>
      </c>
      <c r="K50" s="56">
        <v>0</v>
      </c>
      <c r="L50" s="44">
        <v>123</v>
      </c>
      <c r="M50" s="44"/>
      <c r="N50" s="64">
        <f t="shared" si="12"/>
        <v>0</v>
      </c>
      <c r="O50" s="45"/>
      <c r="P50" s="44"/>
      <c r="Q50" s="46"/>
      <c r="R50" s="46"/>
      <c r="S50" s="49">
        <v>122</v>
      </c>
      <c r="T50" s="49"/>
      <c r="U50" s="66">
        <v>0</v>
      </c>
      <c r="V50" s="50"/>
      <c r="W50" s="49"/>
      <c r="X50" s="51"/>
      <c r="Y50" s="51"/>
      <c r="Z50" s="54">
        <v>190</v>
      </c>
      <c r="AA50" s="54">
        <v>4</v>
      </c>
      <c r="AB50" s="68">
        <v>2.1052631578947368E-2</v>
      </c>
      <c r="AC50" s="55">
        <f t="shared" si="13"/>
        <v>791.6</v>
      </c>
      <c r="AD50" s="54">
        <v>4</v>
      </c>
      <c r="AE50" s="56">
        <f t="shared" si="9"/>
        <v>475.6</v>
      </c>
      <c r="AF50" s="56">
        <f t="shared" si="14"/>
        <v>1267.2</v>
      </c>
      <c r="AG50" s="38">
        <f t="shared" si="15"/>
        <v>1267.2</v>
      </c>
    </row>
    <row r="51" spans="2:33" x14ac:dyDescent="0.3">
      <c r="B51" s="26" t="s">
        <v>117</v>
      </c>
      <c r="C51" s="32" t="s">
        <v>55</v>
      </c>
      <c r="D51" s="32" t="s">
        <v>10</v>
      </c>
      <c r="E51" s="24">
        <v>168.9</v>
      </c>
      <c r="F51" s="24">
        <v>98.9</v>
      </c>
      <c r="G51" s="54">
        <v>4</v>
      </c>
      <c r="H51" s="55">
        <v>675.6</v>
      </c>
      <c r="I51" s="54">
        <v>0</v>
      </c>
      <c r="J51" s="56">
        <v>0</v>
      </c>
      <c r="K51" s="56">
        <v>675.6</v>
      </c>
      <c r="L51" s="44">
        <v>146</v>
      </c>
      <c r="M51" s="44"/>
      <c r="N51" s="64">
        <f t="shared" si="12"/>
        <v>0</v>
      </c>
      <c r="O51" s="45"/>
      <c r="P51" s="44"/>
      <c r="Q51" s="46"/>
      <c r="R51" s="46"/>
      <c r="S51" s="49">
        <v>122</v>
      </c>
      <c r="T51" s="49"/>
      <c r="U51" s="66">
        <v>0</v>
      </c>
      <c r="V51" s="50"/>
      <c r="W51" s="49"/>
      <c r="X51" s="51"/>
      <c r="Y51" s="51"/>
      <c r="Z51" s="54">
        <v>125</v>
      </c>
      <c r="AA51" s="54">
        <v>5</v>
      </c>
      <c r="AB51" s="68">
        <v>0.04</v>
      </c>
      <c r="AC51" s="55">
        <f t="shared" si="13"/>
        <v>844.5</v>
      </c>
      <c r="AD51" s="54">
        <v>1</v>
      </c>
      <c r="AE51" s="56">
        <f t="shared" si="9"/>
        <v>98.9</v>
      </c>
      <c r="AF51" s="56">
        <f t="shared" si="14"/>
        <v>943.4</v>
      </c>
      <c r="AG51" s="38">
        <f t="shared" si="15"/>
        <v>943.4</v>
      </c>
    </row>
    <row r="52" spans="2:33" x14ac:dyDescent="0.3">
      <c r="B52" s="29" t="s">
        <v>26</v>
      </c>
      <c r="C52" s="27" t="s">
        <v>22</v>
      </c>
      <c r="D52" s="27" t="s">
        <v>23</v>
      </c>
      <c r="E52" s="24">
        <v>197.9</v>
      </c>
      <c r="F52" s="24">
        <v>118.9</v>
      </c>
      <c r="G52" s="36">
        <v>0</v>
      </c>
      <c r="H52" s="35">
        <f>E52*G52</f>
        <v>0</v>
      </c>
      <c r="I52" s="36">
        <v>0</v>
      </c>
      <c r="J52" s="37">
        <f>F52*I52</f>
        <v>0</v>
      </c>
      <c r="K52" s="37">
        <f>J52+H52</f>
        <v>0</v>
      </c>
      <c r="L52" s="44">
        <v>121</v>
      </c>
      <c r="M52" s="61">
        <v>3</v>
      </c>
      <c r="N52" s="64">
        <f t="shared" si="12"/>
        <v>2.4793388429752067E-2</v>
      </c>
      <c r="O52" s="45">
        <f>M52*E52</f>
        <v>593.70000000000005</v>
      </c>
      <c r="P52" s="44">
        <v>2</v>
      </c>
      <c r="Q52" s="46">
        <f>P52*F52</f>
        <v>237.8</v>
      </c>
      <c r="R52" s="46">
        <f>Q52+O52</f>
        <v>831.5</v>
      </c>
      <c r="S52" s="49">
        <v>136</v>
      </c>
      <c r="T52" s="49">
        <v>0</v>
      </c>
      <c r="U52" s="66">
        <v>0</v>
      </c>
      <c r="V52" s="50">
        <f>T52*E52</f>
        <v>0</v>
      </c>
      <c r="W52" s="49">
        <v>0</v>
      </c>
      <c r="X52" s="51">
        <f>W52*F52</f>
        <v>0</v>
      </c>
      <c r="Y52" s="51">
        <f>X52+V52</f>
        <v>0</v>
      </c>
      <c r="Z52" s="54">
        <v>163</v>
      </c>
      <c r="AA52" s="54"/>
      <c r="AB52" s="68">
        <v>0</v>
      </c>
      <c r="AC52" s="55">
        <f t="shared" si="13"/>
        <v>0</v>
      </c>
      <c r="AD52" s="54"/>
      <c r="AE52" s="56">
        <f t="shared" si="9"/>
        <v>0</v>
      </c>
      <c r="AF52" s="56">
        <f t="shared" si="14"/>
        <v>0</v>
      </c>
      <c r="AG52" s="38">
        <f t="shared" si="15"/>
        <v>831.5</v>
      </c>
    </row>
    <row r="53" spans="2:33" x14ac:dyDescent="0.3">
      <c r="B53" s="26" t="s">
        <v>50</v>
      </c>
      <c r="C53" s="32" t="s">
        <v>35</v>
      </c>
      <c r="D53" s="32" t="s">
        <v>49</v>
      </c>
      <c r="E53" s="24">
        <v>168.9</v>
      </c>
      <c r="F53" s="24">
        <v>98.9</v>
      </c>
      <c r="G53" s="36">
        <v>0</v>
      </c>
      <c r="H53" s="37">
        <f>E53*G53</f>
        <v>0</v>
      </c>
      <c r="I53" s="36">
        <v>0</v>
      </c>
      <c r="J53" s="37">
        <f>I53*F53</f>
        <v>0</v>
      </c>
      <c r="K53" s="37">
        <f>J53+H53</f>
        <v>0</v>
      </c>
      <c r="L53" s="44">
        <v>109</v>
      </c>
      <c r="M53" s="44">
        <v>2</v>
      </c>
      <c r="N53" s="64">
        <f t="shared" si="12"/>
        <v>1.834862385321101E-2</v>
      </c>
      <c r="O53" s="45">
        <f>M53*E53</f>
        <v>337.8</v>
      </c>
      <c r="P53" s="44">
        <v>2</v>
      </c>
      <c r="Q53" s="46">
        <f>P53*F53</f>
        <v>197.8</v>
      </c>
      <c r="R53" s="46">
        <f>Q53+O53</f>
        <v>535.6</v>
      </c>
      <c r="S53" s="49">
        <v>125</v>
      </c>
      <c r="T53" s="49">
        <v>0</v>
      </c>
      <c r="U53" s="66">
        <v>0</v>
      </c>
      <c r="V53" s="50">
        <f>T53*E53</f>
        <v>0</v>
      </c>
      <c r="W53" s="49">
        <v>0</v>
      </c>
      <c r="X53" s="51">
        <f>W53*F53</f>
        <v>0</v>
      </c>
      <c r="Y53" s="51">
        <f>X53+V53</f>
        <v>0</v>
      </c>
      <c r="Z53" s="54">
        <v>189</v>
      </c>
      <c r="AA53" s="54"/>
      <c r="AB53" s="68">
        <v>0</v>
      </c>
      <c r="AC53" s="55">
        <f t="shared" si="13"/>
        <v>0</v>
      </c>
      <c r="AD53" s="54"/>
      <c r="AE53" s="56">
        <f t="shared" si="9"/>
        <v>0</v>
      </c>
      <c r="AF53" s="56">
        <f t="shared" si="14"/>
        <v>0</v>
      </c>
      <c r="AG53" s="38">
        <f t="shared" si="15"/>
        <v>535.6</v>
      </c>
    </row>
    <row r="54" spans="2:33" x14ac:dyDescent="0.3">
      <c r="B54" s="28" t="s">
        <v>120</v>
      </c>
      <c r="C54" s="32" t="s">
        <v>35</v>
      </c>
      <c r="D54" s="32" t="s">
        <v>69</v>
      </c>
      <c r="E54" s="24">
        <v>168.9</v>
      </c>
      <c r="F54" s="24">
        <v>0</v>
      </c>
      <c r="G54" s="54">
        <v>50</v>
      </c>
      <c r="H54" s="55">
        <v>8445</v>
      </c>
      <c r="I54" s="54"/>
      <c r="J54" s="56">
        <v>0</v>
      </c>
      <c r="K54" s="56">
        <v>8445</v>
      </c>
      <c r="L54" s="44">
        <v>163</v>
      </c>
      <c r="M54" s="44"/>
      <c r="N54" s="64">
        <f t="shared" si="12"/>
        <v>0</v>
      </c>
      <c r="O54" s="45"/>
      <c r="P54" s="44"/>
      <c r="Q54" s="46"/>
      <c r="R54" s="46"/>
      <c r="S54" s="49">
        <v>166</v>
      </c>
      <c r="T54" s="49"/>
      <c r="U54" s="66">
        <v>0</v>
      </c>
      <c r="V54" s="50"/>
      <c r="W54" s="49"/>
      <c r="X54" s="51"/>
      <c r="Y54" s="51"/>
      <c r="Z54" s="54">
        <v>144</v>
      </c>
      <c r="AA54" s="54">
        <v>3</v>
      </c>
      <c r="AB54" s="68">
        <v>2.0833333333333332E-2</v>
      </c>
      <c r="AC54" s="55">
        <f t="shared" si="13"/>
        <v>506.70000000000005</v>
      </c>
      <c r="AD54" s="54"/>
      <c r="AE54" s="56"/>
      <c r="AF54" s="56">
        <f t="shared" si="14"/>
        <v>506.70000000000005</v>
      </c>
      <c r="AG54" s="38">
        <f t="shared" si="15"/>
        <v>506.70000000000005</v>
      </c>
    </row>
    <row r="55" spans="2:33" x14ac:dyDescent="0.3">
      <c r="B55" s="26" t="s">
        <v>118</v>
      </c>
      <c r="C55" s="32" t="s">
        <v>94</v>
      </c>
      <c r="D55" s="32" t="s">
        <v>23</v>
      </c>
      <c r="E55" s="24">
        <v>197.9</v>
      </c>
      <c r="F55" s="24">
        <v>118.9</v>
      </c>
      <c r="G55" s="54">
        <v>6</v>
      </c>
      <c r="H55" s="55">
        <v>1187.4000000000001</v>
      </c>
      <c r="I55" s="54">
        <v>0</v>
      </c>
      <c r="J55" s="56">
        <v>0</v>
      </c>
      <c r="K55" s="56">
        <v>1187.4000000000001</v>
      </c>
      <c r="L55" s="44">
        <v>118</v>
      </c>
      <c r="M55" s="44"/>
      <c r="N55" s="64">
        <f t="shared" si="12"/>
        <v>0</v>
      </c>
      <c r="O55" s="45"/>
      <c r="P55" s="44"/>
      <c r="Q55" s="46"/>
      <c r="R55" s="46"/>
      <c r="S55" s="49">
        <v>145</v>
      </c>
      <c r="T55" s="49"/>
      <c r="U55" s="66">
        <v>0</v>
      </c>
      <c r="V55" s="50"/>
      <c r="W55" s="49"/>
      <c r="X55" s="51"/>
      <c r="Y55" s="51"/>
      <c r="Z55" s="54">
        <v>172</v>
      </c>
      <c r="AA55" s="54">
        <v>1</v>
      </c>
      <c r="AB55" s="68">
        <v>5.8139534883720929E-3</v>
      </c>
      <c r="AC55" s="55">
        <f t="shared" si="13"/>
        <v>197.9</v>
      </c>
      <c r="AD55" s="54">
        <v>2</v>
      </c>
      <c r="AE55" s="56">
        <f>AD55*F55</f>
        <v>237.8</v>
      </c>
      <c r="AF55" s="56">
        <f t="shared" si="14"/>
        <v>435.70000000000005</v>
      </c>
      <c r="AG55" s="38">
        <f t="shared" si="15"/>
        <v>435.70000000000005</v>
      </c>
    </row>
    <row r="56" spans="2:33" x14ac:dyDescent="0.3">
      <c r="B56" s="26" t="s">
        <v>84</v>
      </c>
      <c r="C56" s="32" t="s">
        <v>55</v>
      </c>
      <c r="D56" s="32" t="s">
        <v>23</v>
      </c>
      <c r="E56" s="24">
        <v>197.9</v>
      </c>
      <c r="F56" s="24">
        <v>118.9</v>
      </c>
      <c r="G56" s="36">
        <v>3</v>
      </c>
      <c r="H56" s="35">
        <f>E56*G56</f>
        <v>593.70000000000005</v>
      </c>
      <c r="I56" s="36">
        <v>3</v>
      </c>
      <c r="J56" s="37">
        <f>F56*I56</f>
        <v>356.70000000000005</v>
      </c>
      <c r="K56" s="37">
        <f>J56+H56</f>
        <v>950.40000000000009</v>
      </c>
      <c r="L56" s="44">
        <v>178</v>
      </c>
      <c r="M56" s="44">
        <v>0</v>
      </c>
      <c r="N56" s="64">
        <f t="shared" si="12"/>
        <v>0</v>
      </c>
      <c r="O56" s="45">
        <f>M56*E56</f>
        <v>0</v>
      </c>
      <c r="P56" s="44">
        <v>0</v>
      </c>
      <c r="Q56" s="46">
        <f>P56*F56</f>
        <v>0</v>
      </c>
      <c r="R56" s="46">
        <f>Q56+O56</f>
        <v>0</v>
      </c>
      <c r="S56" s="49">
        <v>121</v>
      </c>
      <c r="T56" s="49">
        <v>0</v>
      </c>
      <c r="U56" s="66">
        <v>0</v>
      </c>
      <c r="V56" s="50">
        <f>T56*E56</f>
        <v>0</v>
      </c>
      <c r="W56" s="49">
        <v>0</v>
      </c>
      <c r="X56" s="51">
        <f>W56*F56</f>
        <v>0</v>
      </c>
      <c r="Y56" s="51">
        <f>X56+V56</f>
        <v>0</v>
      </c>
      <c r="Z56" s="54">
        <v>161</v>
      </c>
      <c r="AA56" s="54"/>
      <c r="AB56" s="68">
        <v>0</v>
      </c>
      <c r="AC56" s="55">
        <f t="shared" si="13"/>
        <v>0</v>
      </c>
      <c r="AD56" s="54"/>
      <c r="AE56" s="56">
        <f>AD56*F56</f>
        <v>0</v>
      </c>
      <c r="AF56" s="56">
        <f t="shared" si="14"/>
        <v>0</v>
      </c>
      <c r="AG56" s="38">
        <f t="shared" si="15"/>
        <v>0</v>
      </c>
    </row>
    <row r="57" spans="2:33" s="43" customFormat="1" ht="18" x14ac:dyDescent="0.35">
      <c r="B57" s="40"/>
      <c r="C57" s="40"/>
      <c r="D57" s="40"/>
      <c r="E57" s="40"/>
      <c r="F57" s="40"/>
      <c r="G57" s="41">
        <f t="shared" ref="G57:AG57" si="17">SUBTOTAL(9,G6:G56)</f>
        <v>467</v>
      </c>
      <c r="H57" s="42">
        <f t="shared" si="17"/>
        <v>84444.300000000032</v>
      </c>
      <c r="I57" s="41">
        <f t="shared" si="17"/>
        <v>144</v>
      </c>
      <c r="J57" s="42">
        <f t="shared" si="17"/>
        <v>15841.600000000002</v>
      </c>
      <c r="K57" s="42">
        <f t="shared" si="17"/>
        <v>100285.90000000001</v>
      </c>
      <c r="L57" s="44">
        <f>SUBTOTAL(9,L6:L56)</f>
        <v>7369</v>
      </c>
      <c r="M57" s="47">
        <f t="shared" si="17"/>
        <v>993</v>
      </c>
      <c r="N57" s="65">
        <f t="shared" si="12"/>
        <v>0.13475369792373457</v>
      </c>
      <c r="O57" s="48">
        <f t="shared" si="17"/>
        <v>179868.69999999995</v>
      </c>
      <c r="P57" s="47">
        <f t="shared" si="17"/>
        <v>346</v>
      </c>
      <c r="Q57" s="48">
        <f t="shared" si="17"/>
        <v>38699.400000000016</v>
      </c>
      <c r="R57" s="48">
        <f t="shared" si="17"/>
        <v>218568.10000000003</v>
      </c>
      <c r="S57" s="52">
        <f>SUM(S6:S56)</f>
        <v>7228</v>
      </c>
      <c r="T57" s="52">
        <f t="shared" si="17"/>
        <v>1012</v>
      </c>
      <c r="U57" s="66">
        <v>0.14001106806862201</v>
      </c>
      <c r="V57" s="53">
        <f t="shared" si="17"/>
        <v>182236.80000000002</v>
      </c>
      <c r="W57" s="52">
        <f t="shared" si="17"/>
        <v>342</v>
      </c>
      <c r="X57" s="53">
        <f t="shared" si="17"/>
        <v>37783.80000000001</v>
      </c>
      <c r="Y57" s="53">
        <f t="shared" si="17"/>
        <v>220020.6</v>
      </c>
      <c r="Z57" s="67">
        <f>SUM(Z6:Z56)</f>
        <v>8704</v>
      </c>
      <c r="AA57" s="59">
        <f t="shared" si="17"/>
        <v>960</v>
      </c>
      <c r="AB57" s="57">
        <v>0.11029411764705882</v>
      </c>
      <c r="AC57" s="57">
        <f>SUM(AC6:AC56)</f>
        <v>173802.00000000006</v>
      </c>
      <c r="AD57" s="59">
        <f t="shared" si="17"/>
        <v>376</v>
      </c>
      <c r="AE57" s="57">
        <f>SUM(AE6:AE56)</f>
        <v>41106.400000000016</v>
      </c>
      <c r="AF57" s="58">
        <f t="shared" si="17"/>
        <v>214908.40000000005</v>
      </c>
      <c r="AG57" s="39">
        <f t="shared" si="17"/>
        <v>653497.09999999974</v>
      </c>
    </row>
    <row r="58" spans="2:33" x14ac:dyDescent="0.3">
      <c r="M58" s="33"/>
      <c r="N58" s="63"/>
    </row>
  </sheetData>
  <autoFilter ref="B5:Y59" xr:uid="{81442B06-871F-41DF-96E7-5858B729E00D}"/>
  <sortState xmlns:xlrd2="http://schemas.microsoft.com/office/spreadsheetml/2017/richdata2" ref="B6:AG56">
    <sortCondition descending="1" ref="AG6:AG56"/>
  </sortState>
  <mergeCells count="3">
    <mergeCell ref="L4:R4"/>
    <mergeCell ref="S4:Y4"/>
    <mergeCell ref="Z4:AF4"/>
  </mergeCells>
  <pageMargins left="0.51181102362204722" right="0.51181102362204722" top="0.78740157480314965" bottom="0.78740157480314965" header="0.31496062992125984" footer="0.31496062992125984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3FFF-EAA4-4B25-BD21-2DAAB681D0CD}">
  <dimension ref="A1:N205"/>
  <sheetViews>
    <sheetView workbookViewId="0">
      <selection activeCell="D2" sqref="D2"/>
    </sheetView>
  </sheetViews>
  <sheetFormatPr defaultRowHeight="14.4" x14ac:dyDescent="0.3"/>
  <cols>
    <col min="1" max="1" width="34.109375" bestFit="1" customWidth="1"/>
    <col min="2" max="2" width="15.33203125" bestFit="1" customWidth="1"/>
    <col min="3" max="3" width="6.44140625" bestFit="1" customWidth="1"/>
    <col min="4" max="5" width="8.6640625" bestFit="1" customWidth="1"/>
    <col min="6" max="6" width="8.33203125" bestFit="1" customWidth="1"/>
    <col min="7" max="7" width="6.109375" bestFit="1" customWidth="1"/>
    <col min="8" max="8" width="5.44140625" bestFit="1" customWidth="1"/>
    <col min="9" max="9" width="8.33203125" bestFit="1" customWidth="1"/>
    <col min="10" max="10" width="11.88671875" bestFit="1" customWidth="1"/>
    <col min="11" max="11" width="10.88671875" bestFit="1" customWidth="1"/>
    <col min="12" max="12" width="11.88671875" bestFit="1" customWidth="1"/>
    <col min="13" max="14" width="9.33203125" bestFit="1" customWidth="1"/>
  </cols>
  <sheetData>
    <row r="1" spans="1:14" ht="39.6" x14ac:dyDescent="0.3">
      <c r="A1" s="69" t="s">
        <v>11</v>
      </c>
      <c r="B1" s="69" t="s">
        <v>3</v>
      </c>
      <c r="C1" s="69" t="s">
        <v>4</v>
      </c>
      <c r="D1" s="69" t="s">
        <v>124</v>
      </c>
      <c r="E1" s="69" t="s">
        <v>125</v>
      </c>
      <c r="F1" s="69" t="s">
        <v>122</v>
      </c>
      <c r="G1" s="69" t="s">
        <v>126</v>
      </c>
      <c r="H1" s="69" t="s">
        <v>127</v>
      </c>
      <c r="I1" s="69" t="s">
        <v>123</v>
      </c>
      <c r="J1" s="69" t="s">
        <v>128</v>
      </c>
      <c r="K1" s="69" t="s">
        <v>129</v>
      </c>
      <c r="L1" s="69" t="s">
        <v>130</v>
      </c>
      <c r="M1" s="69" t="s">
        <v>131</v>
      </c>
      <c r="N1" s="69" t="s">
        <v>132</v>
      </c>
    </row>
    <row r="2" spans="1:14" x14ac:dyDescent="0.3">
      <c r="A2" s="70" t="s">
        <v>133</v>
      </c>
      <c r="B2" s="70" t="s">
        <v>16</v>
      </c>
      <c r="C2" s="70" t="s">
        <v>10</v>
      </c>
      <c r="D2" s="71">
        <v>46143</v>
      </c>
      <c r="E2" s="70" t="s">
        <v>134</v>
      </c>
      <c r="F2" s="72"/>
      <c r="G2" s="72"/>
      <c r="H2" s="72"/>
      <c r="I2" s="73"/>
      <c r="J2" s="74"/>
      <c r="K2" s="74"/>
      <c r="L2" s="74"/>
      <c r="M2" s="74">
        <v>168.9</v>
      </c>
      <c r="N2" s="74">
        <v>98.9</v>
      </c>
    </row>
    <row r="3" spans="1:14" x14ac:dyDescent="0.3">
      <c r="A3" s="75" t="s">
        <v>82</v>
      </c>
      <c r="B3" s="75" t="s">
        <v>55</v>
      </c>
      <c r="C3" s="75" t="s">
        <v>23</v>
      </c>
      <c r="D3" s="76">
        <v>46143</v>
      </c>
      <c r="E3" s="75" t="s">
        <v>134</v>
      </c>
      <c r="F3" s="77"/>
      <c r="G3" s="77"/>
      <c r="H3" s="77"/>
      <c r="I3" s="78"/>
      <c r="J3" s="79"/>
      <c r="K3" s="79"/>
      <c r="L3" s="79"/>
      <c r="M3" s="79">
        <v>197.9</v>
      </c>
      <c r="N3" s="79">
        <v>118.9</v>
      </c>
    </row>
    <row r="4" spans="1:14" x14ac:dyDescent="0.3">
      <c r="A4" s="70" t="s">
        <v>26</v>
      </c>
      <c r="B4" s="70" t="s">
        <v>22</v>
      </c>
      <c r="C4" s="70" t="s">
        <v>23</v>
      </c>
      <c r="D4" s="71">
        <v>46143</v>
      </c>
      <c r="E4" s="70" t="s">
        <v>134</v>
      </c>
      <c r="F4" s="72"/>
      <c r="G4" s="72"/>
      <c r="H4" s="72"/>
      <c r="I4" s="73"/>
      <c r="J4" s="74"/>
      <c r="K4" s="74"/>
      <c r="L4" s="74"/>
      <c r="M4" s="74">
        <v>197.9</v>
      </c>
      <c r="N4" s="74">
        <v>118.9</v>
      </c>
    </row>
    <row r="5" spans="1:14" x14ac:dyDescent="0.3">
      <c r="A5" s="75" t="s">
        <v>50</v>
      </c>
      <c r="B5" s="75" t="s">
        <v>35</v>
      </c>
      <c r="C5" s="75" t="s">
        <v>49</v>
      </c>
      <c r="D5" s="76">
        <v>46143</v>
      </c>
      <c r="E5" s="75" t="s">
        <v>134</v>
      </c>
      <c r="F5" s="77"/>
      <c r="G5" s="77"/>
      <c r="H5" s="77"/>
      <c r="I5" s="78"/>
      <c r="J5" s="79"/>
      <c r="K5" s="79"/>
      <c r="L5" s="79"/>
      <c r="M5" s="79">
        <v>168.9</v>
      </c>
      <c r="N5" s="79">
        <v>98.9</v>
      </c>
    </row>
    <row r="6" spans="1:14" x14ac:dyDescent="0.3">
      <c r="A6" s="70" t="s">
        <v>135</v>
      </c>
      <c r="B6" s="70" t="s">
        <v>55</v>
      </c>
      <c r="C6" s="70" t="s">
        <v>23</v>
      </c>
      <c r="D6" s="71">
        <v>46143</v>
      </c>
      <c r="E6" s="70" t="s">
        <v>134</v>
      </c>
      <c r="F6" s="72"/>
      <c r="G6" s="72"/>
      <c r="H6" s="72"/>
      <c r="I6" s="73"/>
      <c r="J6" s="74"/>
      <c r="K6" s="74"/>
      <c r="L6" s="74"/>
      <c r="M6" s="74">
        <v>197.9</v>
      </c>
      <c r="N6" s="74">
        <v>118.9</v>
      </c>
    </row>
    <row r="7" spans="1:14" x14ac:dyDescent="0.3">
      <c r="A7" s="75" t="s">
        <v>150</v>
      </c>
      <c r="B7" s="75" t="s">
        <v>94</v>
      </c>
      <c r="C7" s="75" t="s">
        <v>23</v>
      </c>
      <c r="D7" s="76">
        <v>46143</v>
      </c>
      <c r="E7" s="75" t="s">
        <v>134</v>
      </c>
      <c r="F7" s="77">
        <v>30</v>
      </c>
      <c r="G7" s="77">
        <v>1</v>
      </c>
      <c r="H7" s="77">
        <v>2</v>
      </c>
      <c r="I7" s="78">
        <v>3.3333333333333333E-2</v>
      </c>
      <c r="J7" s="79">
        <v>197.9</v>
      </c>
      <c r="K7" s="79">
        <v>237.8</v>
      </c>
      <c r="L7" s="79">
        <v>435.7</v>
      </c>
      <c r="M7" s="79">
        <v>197.9</v>
      </c>
      <c r="N7" s="79">
        <v>118.9</v>
      </c>
    </row>
    <row r="8" spans="1:14" x14ac:dyDescent="0.3">
      <c r="A8" s="70" t="s">
        <v>73</v>
      </c>
      <c r="B8" s="70" t="s">
        <v>35</v>
      </c>
      <c r="C8" s="70" t="s">
        <v>69</v>
      </c>
      <c r="D8" s="71">
        <v>46143</v>
      </c>
      <c r="E8" s="70" t="s">
        <v>134</v>
      </c>
      <c r="F8" s="72"/>
      <c r="G8" s="72">
        <v>3</v>
      </c>
      <c r="H8" s="72">
        <v>0</v>
      </c>
      <c r="I8" s="73"/>
      <c r="J8" s="74">
        <v>506.7</v>
      </c>
      <c r="K8" s="74">
        <v>0</v>
      </c>
      <c r="L8" s="74">
        <v>506.7</v>
      </c>
      <c r="M8" s="74">
        <v>168.9</v>
      </c>
      <c r="N8" s="74">
        <v>0</v>
      </c>
    </row>
    <row r="9" spans="1:14" x14ac:dyDescent="0.3">
      <c r="A9" s="75" t="s">
        <v>120</v>
      </c>
      <c r="B9" s="75" t="s">
        <v>35</v>
      </c>
      <c r="C9" s="75" t="s">
        <v>69</v>
      </c>
      <c r="D9" s="76">
        <v>46143</v>
      </c>
      <c r="E9" s="75" t="s">
        <v>134</v>
      </c>
      <c r="F9" s="77"/>
      <c r="G9" s="77">
        <v>3</v>
      </c>
      <c r="H9" s="77"/>
      <c r="I9" s="78"/>
      <c r="J9" s="79">
        <v>506.7</v>
      </c>
      <c r="K9" s="79"/>
      <c r="L9" s="79">
        <v>506.7</v>
      </c>
      <c r="M9" s="79">
        <v>168.9</v>
      </c>
      <c r="N9" s="79">
        <v>0</v>
      </c>
    </row>
    <row r="10" spans="1:14" x14ac:dyDescent="0.3">
      <c r="A10" s="70" t="s">
        <v>136</v>
      </c>
      <c r="B10" s="70" t="s">
        <v>55</v>
      </c>
      <c r="C10" s="70" t="s">
        <v>10</v>
      </c>
      <c r="D10" s="71">
        <v>46143</v>
      </c>
      <c r="E10" s="70" t="s">
        <v>134</v>
      </c>
      <c r="F10" s="72">
        <v>22</v>
      </c>
      <c r="G10" s="72">
        <v>4</v>
      </c>
      <c r="H10" s="72">
        <v>0</v>
      </c>
      <c r="I10" s="73">
        <v>0.1818181818181818</v>
      </c>
      <c r="J10" s="74">
        <v>675.6</v>
      </c>
      <c r="K10" s="74">
        <v>0</v>
      </c>
      <c r="L10" s="74">
        <v>675.6</v>
      </c>
      <c r="M10" s="74">
        <v>168.9</v>
      </c>
      <c r="N10" s="74">
        <v>98.9</v>
      </c>
    </row>
    <row r="11" spans="1:14" x14ac:dyDescent="0.3">
      <c r="A11" s="75" t="s">
        <v>30</v>
      </c>
      <c r="B11" s="75" t="s">
        <v>16</v>
      </c>
      <c r="C11" s="75" t="s">
        <v>10</v>
      </c>
      <c r="D11" s="76">
        <v>46143</v>
      </c>
      <c r="E11" s="75" t="s">
        <v>134</v>
      </c>
      <c r="F11" s="77">
        <v>22</v>
      </c>
      <c r="G11" s="77">
        <v>4</v>
      </c>
      <c r="H11" s="77">
        <v>2</v>
      </c>
      <c r="I11" s="78">
        <v>0.1818181818181818</v>
      </c>
      <c r="J11" s="79">
        <v>675.6</v>
      </c>
      <c r="K11" s="79">
        <v>197.8</v>
      </c>
      <c r="L11" s="79">
        <v>873.4</v>
      </c>
      <c r="M11" s="79">
        <v>168.9</v>
      </c>
      <c r="N11" s="79">
        <v>98.9</v>
      </c>
    </row>
    <row r="12" spans="1:14" x14ac:dyDescent="0.3">
      <c r="A12" s="70" t="s">
        <v>151</v>
      </c>
      <c r="B12" s="70" t="s">
        <v>55</v>
      </c>
      <c r="C12" s="70" t="s">
        <v>10</v>
      </c>
      <c r="D12" s="71">
        <v>46143</v>
      </c>
      <c r="E12" s="70" t="s">
        <v>134</v>
      </c>
      <c r="F12" s="72">
        <v>66</v>
      </c>
      <c r="G12" s="72">
        <v>5</v>
      </c>
      <c r="H12" s="72">
        <v>1</v>
      </c>
      <c r="I12" s="73">
        <v>7.575757575757576E-2</v>
      </c>
      <c r="J12" s="74">
        <v>844.5</v>
      </c>
      <c r="K12" s="74">
        <v>98.9</v>
      </c>
      <c r="L12" s="74">
        <v>943.4</v>
      </c>
      <c r="M12" s="74">
        <v>168.9</v>
      </c>
      <c r="N12" s="74">
        <v>98.9</v>
      </c>
    </row>
    <row r="13" spans="1:14" x14ac:dyDescent="0.3">
      <c r="A13" s="75" t="s">
        <v>98</v>
      </c>
      <c r="B13" s="75" t="s">
        <v>94</v>
      </c>
      <c r="C13" s="75" t="s">
        <v>23</v>
      </c>
      <c r="D13" s="76">
        <v>46143</v>
      </c>
      <c r="E13" s="75" t="s">
        <v>134</v>
      </c>
      <c r="F13" s="77">
        <v>57</v>
      </c>
      <c r="G13" s="77">
        <v>6</v>
      </c>
      <c r="H13" s="77">
        <v>0</v>
      </c>
      <c r="I13" s="78">
        <v>0.10526315789473679</v>
      </c>
      <c r="J13" s="79">
        <v>1187.4000000000001</v>
      </c>
      <c r="K13" s="79">
        <v>0</v>
      </c>
      <c r="L13" s="79">
        <v>1187.4000000000001</v>
      </c>
      <c r="M13" s="79">
        <v>197.9</v>
      </c>
      <c r="N13" s="79">
        <v>118.9</v>
      </c>
    </row>
    <row r="14" spans="1:14" x14ac:dyDescent="0.3">
      <c r="A14" s="70" t="s">
        <v>97</v>
      </c>
      <c r="B14" s="70" t="s">
        <v>94</v>
      </c>
      <c r="C14" s="70" t="s">
        <v>23</v>
      </c>
      <c r="D14" s="71">
        <v>46143</v>
      </c>
      <c r="E14" s="70" t="s">
        <v>134</v>
      </c>
      <c r="F14" s="72">
        <v>52</v>
      </c>
      <c r="G14" s="72">
        <v>6</v>
      </c>
      <c r="H14" s="72">
        <v>0</v>
      </c>
      <c r="I14" s="73">
        <v>0.1153846153846154</v>
      </c>
      <c r="J14" s="74">
        <v>1187.4000000000001</v>
      </c>
      <c r="K14" s="74">
        <v>0</v>
      </c>
      <c r="L14" s="74">
        <v>1187.4000000000001</v>
      </c>
      <c r="M14" s="74">
        <v>197.9</v>
      </c>
      <c r="N14" s="74">
        <v>118.9</v>
      </c>
    </row>
    <row r="15" spans="1:14" x14ac:dyDescent="0.3">
      <c r="A15" s="75" t="s">
        <v>152</v>
      </c>
      <c r="B15" s="75" t="s">
        <v>55</v>
      </c>
      <c r="C15" s="75" t="s">
        <v>23</v>
      </c>
      <c r="D15" s="76">
        <v>46143</v>
      </c>
      <c r="E15" s="75" t="s">
        <v>134</v>
      </c>
      <c r="F15" s="77">
        <v>46</v>
      </c>
      <c r="G15" s="77">
        <v>4</v>
      </c>
      <c r="H15" s="77">
        <v>4</v>
      </c>
      <c r="I15" s="78">
        <v>8.6956521739130432E-2</v>
      </c>
      <c r="J15" s="79">
        <v>791.6</v>
      </c>
      <c r="K15" s="79">
        <v>475.6</v>
      </c>
      <c r="L15" s="79">
        <v>1267.2</v>
      </c>
      <c r="M15" s="79">
        <v>197.9</v>
      </c>
      <c r="N15" s="79">
        <v>118.9</v>
      </c>
    </row>
    <row r="16" spans="1:14" x14ac:dyDescent="0.3">
      <c r="A16" s="70" t="s">
        <v>137</v>
      </c>
      <c r="B16" s="70" t="s">
        <v>35</v>
      </c>
      <c r="C16" s="70" t="s">
        <v>69</v>
      </c>
      <c r="D16" s="71">
        <v>46143</v>
      </c>
      <c r="E16" s="70" t="s">
        <v>134</v>
      </c>
      <c r="F16" s="72"/>
      <c r="G16" s="72">
        <v>8</v>
      </c>
      <c r="H16" s="72">
        <v>0</v>
      </c>
      <c r="I16" s="73"/>
      <c r="J16" s="74">
        <v>1351.2</v>
      </c>
      <c r="K16" s="74">
        <v>0</v>
      </c>
      <c r="L16" s="74">
        <v>1351.2</v>
      </c>
      <c r="M16" s="74">
        <v>168.9</v>
      </c>
      <c r="N16" s="74">
        <v>0</v>
      </c>
    </row>
    <row r="17" spans="1:14" x14ac:dyDescent="0.3">
      <c r="A17" s="75" t="s">
        <v>76</v>
      </c>
      <c r="B17" s="75" t="s">
        <v>60</v>
      </c>
      <c r="C17" s="75" t="s">
        <v>23</v>
      </c>
      <c r="D17" s="76">
        <v>46143</v>
      </c>
      <c r="E17" s="75" t="s">
        <v>134</v>
      </c>
      <c r="F17" s="77">
        <v>75</v>
      </c>
      <c r="G17" s="77">
        <v>6</v>
      </c>
      <c r="H17" s="77">
        <v>2</v>
      </c>
      <c r="I17" s="78">
        <v>0.08</v>
      </c>
      <c r="J17" s="79">
        <v>1187.4000000000001</v>
      </c>
      <c r="K17" s="79">
        <v>237.8</v>
      </c>
      <c r="L17" s="79">
        <v>1425.2</v>
      </c>
      <c r="M17" s="79">
        <v>197.9</v>
      </c>
      <c r="N17" s="79">
        <v>118.9</v>
      </c>
    </row>
    <row r="18" spans="1:14" x14ac:dyDescent="0.3">
      <c r="A18" s="70" t="s">
        <v>56</v>
      </c>
      <c r="B18" s="70" t="s">
        <v>55</v>
      </c>
      <c r="C18" s="70" t="s">
        <v>10</v>
      </c>
      <c r="D18" s="71">
        <v>46143</v>
      </c>
      <c r="E18" s="70" t="s">
        <v>134</v>
      </c>
      <c r="F18" s="72">
        <v>60</v>
      </c>
      <c r="G18" s="72">
        <v>8</v>
      </c>
      <c r="H18" s="72">
        <v>1</v>
      </c>
      <c r="I18" s="73">
        <v>0.1333333333333333</v>
      </c>
      <c r="J18" s="74">
        <v>1351.2</v>
      </c>
      <c r="K18" s="74">
        <v>98.9</v>
      </c>
      <c r="L18" s="74">
        <v>1450.1</v>
      </c>
      <c r="M18" s="74">
        <v>168.9</v>
      </c>
      <c r="N18" s="74">
        <v>98.9</v>
      </c>
    </row>
    <row r="19" spans="1:14" x14ac:dyDescent="0.3">
      <c r="A19" s="75" t="s">
        <v>138</v>
      </c>
      <c r="B19" s="75" t="s">
        <v>87</v>
      </c>
      <c r="C19" s="75" t="s">
        <v>23</v>
      </c>
      <c r="D19" s="76">
        <v>46143</v>
      </c>
      <c r="E19" s="75" t="s">
        <v>134</v>
      </c>
      <c r="F19" s="77">
        <v>50</v>
      </c>
      <c r="G19" s="77">
        <v>6</v>
      </c>
      <c r="H19" s="77">
        <v>4</v>
      </c>
      <c r="I19" s="78">
        <v>0.12</v>
      </c>
      <c r="J19" s="79">
        <v>1187.4000000000001</v>
      </c>
      <c r="K19" s="79">
        <v>475.6</v>
      </c>
      <c r="L19" s="79">
        <v>1663</v>
      </c>
      <c r="M19" s="79">
        <v>197.9</v>
      </c>
      <c r="N19" s="79">
        <v>118.9</v>
      </c>
    </row>
    <row r="20" spans="1:14" x14ac:dyDescent="0.3">
      <c r="A20" s="70" t="s">
        <v>139</v>
      </c>
      <c r="B20" s="70" t="s">
        <v>60</v>
      </c>
      <c r="C20" s="70" t="s">
        <v>23</v>
      </c>
      <c r="D20" s="71">
        <v>46143</v>
      </c>
      <c r="E20" s="70" t="s">
        <v>134</v>
      </c>
      <c r="F20" s="72">
        <v>63</v>
      </c>
      <c r="G20" s="72">
        <v>9</v>
      </c>
      <c r="H20" s="72">
        <v>0</v>
      </c>
      <c r="I20" s="73">
        <v>0.14285714285714279</v>
      </c>
      <c r="J20" s="74">
        <v>1781.1</v>
      </c>
      <c r="K20" s="74">
        <v>0</v>
      </c>
      <c r="L20" s="74">
        <v>1781.1</v>
      </c>
      <c r="M20" s="74">
        <v>197.9</v>
      </c>
      <c r="N20" s="74">
        <v>118.9</v>
      </c>
    </row>
    <row r="21" spans="1:14" x14ac:dyDescent="0.3">
      <c r="A21" s="75" t="s">
        <v>62</v>
      </c>
      <c r="B21" s="75" t="s">
        <v>55</v>
      </c>
      <c r="C21" s="75" t="s">
        <v>10</v>
      </c>
      <c r="D21" s="76">
        <v>46143</v>
      </c>
      <c r="E21" s="75" t="s">
        <v>134</v>
      </c>
      <c r="F21" s="77">
        <v>76</v>
      </c>
      <c r="G21" s="77">
        <v>10</v>
      </c>
      <c r="H21" s="77">
        <v>1</v>
      </c>
      <c r="I21" s="78">
        <v>0.13157894736842099</v>
      </c>
      <c r="J21" s="79">
        <v>1689</v>
      </c>
      <c r="K21" s="79">
        <v>98.9</v>
      </c>
      <c r="L21" s="79">
        <v>1787.9</v>
      </c>
      <c r="M21" s="79">
        <v>168.9</v>
      </c>
      <c r="N21" s="79">
        <v>98.9</v>
      </c>
    </row>
    <row r="22" spans="1:14" x14ac:dyDescent="0.3">
      <c r="A22" s="70" t="s">
        <v>88</v>
      </c>
      <c r="B22" s="70" t="s">
        <v>87</v>
      </c>
      <c r="C22" s="70" t="s">
        <v>23</v>
      </c>
      <c r="D22" s="71">
        <v>46143</v>
      </c>
      <c r="E22" s="70" t="s">
        <v>134</v>
      </c>
      <c r="F22" s="72">
        <v>45</v>
      </c>
      <c r="G22" s="72">
        <v>11</v>
      </c>
      <c r="H22" s="72">
        <v>0</v>
      </c>
      <c r="I22" s="73">
        <v>0.24444444444444441</v>
      </c>
      <c r="J22" s="74">
        <v>2176.9</v>
      </c>
      <c r="K22" s="74">
        <v>0</v>
      </c>
      <c r="L22" s="74">
        <v>2176.9</v>
      </c>
      <c r="M22" s="74">
        <v>197.9</v>
      </c>
      <c r="N22" s="74">
        <v>118.9</v>
      </c>
    </row>
    <row r="23" spans="1:14" x14ac:dyDescent="0.3">
      <c r="A23" s="75" t="s">
        <v>44</v>
      </c>
      <c r="B23" s="75" t="s">
        <v>35</v>
      </c>
      <c r="C23" s="75" t="s">
        <v>10</v>
      </c>
      <c r="D23" s="76">
        <v>46143</v>
      </c>
      <c r="E23" s="75" t="s">
        <v>134</v>
      </c>
      <c r="F23" s="77">
        <v>25</v>
      </c>
      <c r="G23" s="77">
        <v>13</v>
      </c>
      <c r="H23" s="77">
        <v>0</v>
      </c>
      <c r="I23" s="78">
        <v>0.52</v>
      </c>
      <c r="J23" s="79">
        <v>2195.6999999999998</v>
      </c>
      <c r="K23" s="79">
        <v>0</v>
      </c>
      <c r="L23" s="79">
        <v>2195.6999999999998</v>
      </c>
      <c r="M23" s="79">
        <v>168.9</v>
      </c>
      <c r="N23" s="79">
        <v>98.9</v>
      </c>
    </row>
    <row r="24" spans="1:14" x14ac:dyDescent="0.3">
      <c r="A24" s="70" t="s">
        <v>36</v>
      </c>
      <c r="B24" s="70" t="s">
        <v>35</v>
      </c>
      <c r="C24" s="70" t="s">
        <v>23</v>
      </c>
      <c r="D24" s="71">
        <v>46143</v>
      </c>
      <c r="E24" s="70" t="s">
        <v>134</v>
      </c>
      <c r="F24" s="72">
        <v>42</v>
      </c>
      <c r="G24" s="72">
        <v>10</v>
      </c>
      <c r="H24" s="72">
        <v>5</v>
      </c>
      <c r="I24" s="73">
        <v>0.23809523809523811</v>
      </c>
      <c r="J24" s="74">
        <v>1979</v>
      </c>
      <c r="K24" s="74">
        <v>594.5</v>
      </c>
      <c r="L24" s="74">
        <v>2573.5</v>
      </c>
      <c r="M24" s="74">
        <v>197.9</v>
      </c>
      <c r="N24" s="74">
        <v>118.9</v>
      </c>
    </row>
    <row r="25" spans="1:14" x14ac:dyDescent="0.3">
      <c r="A25" s="75" t="s">
        <v>140</v>
      </c>
      <c r="B25" s="75" t="s">
        <v>35</v>
      </c>
      <c r="C25" s="75" t="s">
        <v>69</v>
      </c>
      <c r="D25" s="76">
        <v>46143</v>
      </c>
      <c r="E25" s="75" t="s">
        <v>134</v>
      </c>
      <c r="F25" s="77"/>
      <c r="G25" s="77">
        <v>17</v>
      </c>
      <c r="H25" s="77">
        <v>0</v>
      </c>
      <c r="I25" s="78"/>
      <c r="J25" s="79">
        <v>2871.3</v>
      </c>
      <c r="K25" s="79">
        <v>0</v>
      </c>
      <c r="L25" s="79">
        <v>2871.3</v>
      </c>
      <c r="M25" s="79">
        <v>168.9</v>
      </c>
      <c r="N25" s="79">
        <v>0</v>
      </c>
    </row>
    <row r="26" spans="1:14" x14ac:dyDescent="0.3">
      <c r="A26" s="70" t="s">
        <v>52</v>
      </c>
      <c r="B26" s="70" t="s">
        <v>35</v>
      </c>
      <c r="C26" s="70" t="s">
        <v>49</v>
      </c>
      <c r="D26" s="71">
        <v>46143</v>
      </c>
      <c r="E26" s="70" t="s">
        <v>134</v>
      </c>
      <c r="F26" s="72">
        <v>57</v>
      </c>
      <c r="G26" s="72">
        <v>10</v>
      </c>
      <c r="H26" s="72">
        <v>12</v>
      </c>
      <c r="I26" s="73">
        <v>0.17543859649122809</v>
      </c>
      <c r="J26" s="74">
        <v>1689</v>
      </c>
      <c r="K26" s="74">
        <v>1186.8</v>
      </c>
      <c r="L26" s="74">
        <v>2875.8</v>
      </c>
      <c r="M26" s="74">
        <v>168.9</v>
      </c>
      <c r="N26" s="74">
        <v>98.9</v>
      </c>
    </row>
    <row r="27" spans="1:14" x14ac:dyDescent="0.3">
      <c r="A27" s="75" t="s">
        <v>31</v>
      </c>
      <c r="B27" s="75" t="s">
        <v>16</v>
      </c>
      <c r="C27" s="75" t="s">
        <v>10</v>
      </c>
      <c r="D27" s="76">
        <v>46143</v>
      </c>
      <c r="E27" s="75" t="s">
        <v>134</v>
      </c>
      <c r="F27" s="77">
        <v>78</v>
      </c>
      <c r="G27" s="77">
        <v>16</v>
      </c>
      <c r="H27" s="77">
        <v>2</v>
      </c>
      <c r="I27" s="78">
        <v>0.20512820512820509</v>
      </c>
      <c r="J27" s="79">
        <v>2702.4</v>
      </c>
      <c r="K27" s="79">
        <v>197.8</v>
      </c>
      <c r="L27" s="79">
        <v>2900.2</v>
      </c>
      <c r="M27" s="79">
        <v>168.9</v>
      </c>
      <c r="N27" s="79">
        <v>98.9</v>
      </c>
    </row>
    <row r="28" spans="1:14" x14ac:dyDescent="0.3">
      <c r="A28" s="70" t="s">
        <v>115</v>
      </c>
      <c r="B28" s="70" t="s">
        <v>94</v>
      </c>
      <c r="C28" s="70" t="s">
        <v>23</v>
      </c>
      <c r="D28" s="71">
        <v>46143</v>
      </c>
      <c r="E28" s="70" t="s">
        <v>134</v>
      </c>
      <c r="F28" s="72">
        <v>68</v>
      </c>
      <c r="G28" s="72">
        <v>18</v>
      </c>
      <c r="H28" s="72">
        <v>0</v>
      </c>
      <c r="I28" s="73">
        <v>0.26470588235294118</v>
      </c>
      <c r="J28" s="74">
        <v>3562.2</v>
      </c>
      <c r="K28" s="74">
        <v>0</v>
      </c>
      <c r="L28" s="74">
        <v>3562.2</v>
      </c>
      <c r="M28" s="74">
        <v>197.9</v>
      </c>
      <c r="N28" s="74">
        <v>118.9</v>
      </c>
    </row>
    <row r="29" spans="1:14" x14ac:dyDescent="0.3">
      <c r="A29" s="75" t="s">
        <v>15</v>
      </c>
      <c r="B29" s="75" t="s">
        <v>16</v>
      </c>
      <c r="C29" s="75" t="s">
        <v>10</v>
      </c>
      <c r="D29" s="76">
        <v>46143</v>
      </c>
      <c r="E29" s="75" t="s">
        <v>134</v>
      </c>
      <c r="F29" s="77">
        <v>85</v>
      </c>
      <c r="G29" s="77">
        <v>21</v>
      </c>
      <c r="H29" s="77">
        <v>3</v>
      </c>
      <c r="I29" s="78">
        <v>0.2470588235294118</v>
      </c>
      <c r="J29" s="79">
        <v>3546.9</v>
      </c>
      <c r="K29" s="79">
        <v>296.7</v>
      </c>
      <c r="L29" s="79">
        <v>3843.6</v>
      </c>
      <c r="M29" s="79">
        <v>168.9</v>
      </c>
      <c r="N29" s="79">
        <v>98.9</v>
      </c>
    </row>
    <row r="30" spans="1:14" x14ac:dyDescent="0.3">
      <c r="A30" s="70" t="s">
        <v>77</v>
      </c>
      <c r="B30" s="70" t="s">
        <v>60</v>
      </c>
      <c r="C30" s="70" t="s">
        <v>23</v>
      </c>
      <c r="D30" s="71">
        <v>46143</v>
      </c>
      <c r="E30" s="70" t="s">
        <v>134</v>
      </c>
      <c r="F30" s="72">
        <v>77</v>
      </c>
      <c r="G30" s="72">
        <v>20</v>
      </c>
      <c r="H30" s="72">
        <v>0</v>
      </c>
      <c r="I30" s="73">
        <v>0.25974025974025972</v>
      </c>
      <c r="J30" s="74">
        <v>3958</v>
      </c>
      <c r="K30" s="74">
        <v>0</v>
      </c>
      <c r="L30" s="74">
        <v>3958</v>
      </c>
      <c r="M30" s="74">
        <v>197.9</v>
      </c>
      <c r="N30" s="74">
        <v>118.9</v>
      </c>
    </row>
    <row r="31" spans="1:14" x14ac:dyDescent="0.3">
      <c r="A31" s="75" t="s">
        <v>83</v>
      </c>
      <c r="B31" s="75" t="s">
        <v>55</v>
      </c>
      <c r="C31" s="75" t="s">
        <v>23</v>
      </c>
      <c r="D31" s="76">
        <v>46143</v>
      </c>
      <c r="E31" s="75" t="s">
        <v>134</v>
      </c>
      <c r="F31" s="77">
        <v>37</v>
      </c>
      <c r="G31" s="77">
        <v>13</v>
      </c>
      <c r="H31" s="77">
        <v>13</v>
      </c>
      <c r="I31" s="78">
        <v>0.35135135135135143</v>
      </c>
      <c r="J31" s="79">
        <v>2572.6999999999998</v>
      </c>
      <c r="K31" s="79">
        <v>1545.7</v>
      </c>
      <c r="L31" s="79">
        <v>4118.3999999999996</v>
      </c>
      <c r="M31" s="79">
        <v>197.9</v>
      </c>
      <c r="N31" s="79">
        <v>118.9</v>
      </c>
    </row>
    <row r="32" spans="1:14" x14ac:dyDescent="0.3">
      <c r="A32" s="70" t="s">
        <v>153</v>
      </c>
      <c r="B32" s="70" t="s">
        <v>55</v>
      </c>
      <c r="C32" s="70" t="s">
        <v>23</v>
      </c>
      <c r="D32" s="71">
        <v>46143</v>
      </c>
      <c r="E32" s="70" t="s">
        <v>134</v>
      </c>
      <c r="F32" s="72">
        <v>71</v>
      </c>
      <c r="G32" s="72">
        <v>14</v>
      </c>
      <c r="H32" s="72">
        <v>12</v>
      </c>
      <c r="I32" s="73">
        <v>0.19718309859154931</v>
      </c>
      <c r="J32" s="74">
        <v>2770.6</v>
      </c>
      <c r="K32" s="74">
        <v>1426.8</v>
      </c>
      <c r="L32" s="74">
        <v>4197.3999999999996</v>
      </c>
      <c r="M32" s="74">
        <v>197.9</v>
      </c>
      <c r="N32" s="74">
        <v>118.9</v>
      </c>
    </row>
    <row r="33" spans="1:14" x14ac:dyDescent="0.3">
      <c r="A33" s="75" t="s">
        <v>91</v>
      </c>
      <c r="B33" s="75" t="s">
        <v>87</v>
      </c>
      <c r="C33" s="75" t="s">
        <v>23</v>
      </c>
      <c r="D33" s="76">
        <v>46143</v>
      </c>
      <c r="E33" s="75" t="s">
        <v>134</v>
      </c>
      <c r="F33" s="77">
        <v>75</v>
      </c>
      <c r="G33" s="77">
        <v>18</v>
      </c>
      <c r="H33" s="77">
        <v>10</v>
      </c>
      <c r="I33" s="78">
        <v>0.24</v>
      </c>
      <c r="J33" s="79">
        <v>3562.2</v>
      </c>
      <c r="K33" s="79">
        <v>1189</v>
      </c>
      <c r="L33" s="79">
        <v>4751.2</v>
      </c>
      <c r="M33" s="79">
        <v>197.9</v>
      </c>
      <c r="N33" s="79">
        <v>118.9</v>
      </c>
    </row>
    <row r="34" spans="1:14" x14ac:dyDescent="0.3">
      <c r="A34" s="70" t="s">
        <v>90</v>
      </c>
      <c r="B34" s="70" t="s">
        <v>22</v>
      </c>
      <c r="C34" s="70" t="s">
        <v>23</v>
      </c>
      <c r="D34" s="71">
        <v>46143</v>
      </c>
      <c r="E34" s="70" t="s">
        <v>134</v>
      </c>
      <c r="F34" s="72">
        <v>60</v>
      </c>
      <c r="G34" s="72">
        <v>16</v>
      </c>
      <c r="H34" s="72">
        <v>15</v>
      </c>
      <c r="I34" s="73">
        <v>0.26666666666666672</v>
      </c>
      <c r="J34" s="74">
        <v>3166.4</v>
      </c>
      <c r="K34" s="74">
        <v>1783.5</v>
      </c>
      <c r="L34" s="74">
        <v>4949.8999999999996</v>
      </c>
      <c r="M34" s="74">
        <v>197.9</v>
      </c>
      <c r="N34" s="74">
        <v>118.9</v>
      </c>
    </row>
    <row r="35" spans="1:14" x14ac:dyDescent="0.3">
      <c r="A35" s="75" t="s">
        <v>141</v>
      </c>
      <c r="B35" s="75" t="s">
        <v>35</v>
      </c>
      <c r="C35" s="75" t="s">
        <v>10</v>
      </c>
      <c r="D35" s="76">
        <v>46143</v>
      </c>
      <c r="E35" s="75" t="s">
        <v>134</v>
      </c>
      <c r="F35" s="77">
        <v>42</v>
      </c>
      <c r="G35" s="77">
        <v>28</v>
      </c>
      <c r="H35" s="77">
        <v>3</v>
      </c>
      <c r="I35" s="78">
        <v>0.66666666666666663</v>
      </c>
      <c r="J35" s="79">
        <v>4729.2</v>
      </c>
      <c r="K35" s="79">
        <v>296.7</v>
      </c>
      <c r="L35" s="79">
        <v>5025.8999999999996</v>
      </c>
      <c r="M35" s="79">
        <v>168.9</v>
      </c>
      <c r="N35" s="79">
        <v>98.9</v>
      </c>
    </row>
    <row r="36" spans="1:14" x14ac:dyDescent="0.3">
      <c r="A36" s="70" t="s">
        <v>24</v>
      </c>
      <c r="B36" s="70" t="s">
        <v>22</v>
      </c>
      <c r="C36" s="70" t="s">
        <v>23</v>
      </c>
      <c r="D36" s="71">
        <v>46143</v>
      </c>
      <c r="E36" s="70" t="s">
        <v>134</v>
      </c>
      <c r="F36" s="72">
        <v>66</v>
      </c>
      <c r="G36" s="72">
        <v>21</v>
      </c>
      <c r="H36" s="72">
        <v>10</v>
      </c>
      <c r="I36" s="73">
        <v>0.31818181818181818</v>
      </c>
      <c r="J36" s="74">
        <v>4155.8999999999996</v>
      </c>
      <c r="K36" s="74">
        <v>1189</v>
      </c>
      <c r="L36" s="74">
        <v>5344.9</v>
      </c>
      <c r="M36" s="74">
        <v>197.9</v>
      </c>
      <c r="N36" s="74">
        <v>118.9</v>
      </c>
    </row>
    <row r="37" spans="1:14" x14ac:dyDescent="0.3">
      <c r="A37" s="75" t="s">
        <v>27</v>
      </c>
      <c r="B37" s="75" t="s">
        <v>22</v>
      </c>
      <c r="C37" s="75" t="s">
        <v>23</v>
      </c>
      <c r="D37" s="76">
        <v>46143</v>
      </c>
      <c r="E37" s="75" t="s">
        <v>134</v>
      </c>
      <c r="F37" s="77">
        <v>70</v>
      </c>
      <c r="G37" s="77">
        <v>27</v>
      </c>
      <c r="H37" s="77">
        <v>1</v>
      </c>
      <c r="I37" s="78">
        <v>0.38571428571428568</v>
      </c>
      <c r="J37" s="79">
        <v>5343.3</v>
      </c>
      <c r="K37" s="79">
        <v>118.9</v>
      </c>
      <c r="L37" s="79">
        <v>5462.2</v>
      </c>
      <c r="M37" s="79">
        <v>197.9</v>
      </c>
      <c r="N37" s="79">
        <v>118.9</v>
      </c>
    </row>
    <row r="38" spans="1:14" x14ac:dyDescent="0.3">
      <c r="A38" s="70" t="s">
        <v>142</v>
      </c>
      <c r="B38" s="70" t="s">
        <v>9</v>
      </c>
      <c r="C38" s="70" t="s">
        <v>10</v>
      </c>
      <c r="D38" s="71">
        <v>46143</v>
      </c>
      <c r="E38" s="70" t="s">
        <v>134</v>
      </c>
      <c r="F38" s="72">
        <v>68</v>
      </c>
      <c r="G38" s="72">
        <v>30</v>
      </c>
      <c r="H38" s="72">
        <v>4</v>
      </c>
      <c r="I38" s="73">
        <v>0.44117647058823528</v>
      </c>
      <c r="J38" s="74">
        <v>5067</v>
      </c>
      <c r="K38" s="74">
        <v>395.6</v>
      </c>
      <c r="L38" s="74">
        <v>5462.6</v>
      </c>
      <c r="M38" s="74">
        <v>168.9</v>
      </c>
      <c r="N38" s="74">
        <v>98.9</v>
      </c>
    </row>
    <row r="39" spans="1:14" x14ac:dyDescent="0.3">
      <c r="A39" s="75" t="s">
        <v>19</v>
      </c>
      <c r="B39" s="75" t="s">
        <v>9</v>
      </c>
      <c r="C39" s="75" t="s">
        <v>10</v>
      </c>
      <c r="D39" s="76">
        <v>46143</v>
      </c>
      <c r="E39" s="75" t="s">
        <v>134</v>
      </c>
      <c r="F39" s="77">
        <v>56</v>
      </c>
      <c r="G39" s="77">
        <v>28</v>
      </c>
      <c r="H39" s="77">
        <v>12</v>
      </c>
      <c r="I39" s="78">
        <v>0.5</v>
      </c>
      <c r="J39" s="79">
        <v>4729.2</v>
      </c>
      <c r="K39" s="79">
        <v>1186.8</v>
      </c>
      <c r="L39" s="79">
        <v>5916</v>
      </c>
      <c r="M39" s="79">
        <v>168.9</v>
      </c>
      <c r="N39" s="79">
        <v>98.9</v>
      </c>
    </row>
    <row r="40" spans="1:14" x14ac:dyDescent="0.3">
      <c r="A40" s="70" t="s">
        <v>143</v>
      </c>
      <c r="B40" s="70" t="s">
        <v>35</v>
      </c>
      <c r="C40" s="70" t="s">
        <v>23</v>
      </c>
      <c r="D40" s="71">
        <v>46143</v>
      </c>
      <c r="E40" s="70" t="s">
        <v>134</v>
      </c>
      <c r="F40" s="72">
        <v>78</v>
      </c>
      <c r="G40" s="72">
        <v>22</v>
      </c>
      <c r="H40" s="72">
        <v>16</v>
      </c>
      <c r="I40" s="73">
        <v>0.28205128205128199</v>
      </c>
      <c r="J40" s="74">
        <v>4353.8</v>
      </c>
      <c r="K40" s="74">
        <v>1902.4</v>
      </c>
      <c r="L40" s="74">
        <v>6256.2</v>
      </c>
      <c r="M40" s="74">
        <v>197.9</v>
      </c>
      <c r="N40" s="74">
        <v>118.9</v>
      </c>
    </row>
    <row r="41" spans="1:14" x14ac:dyDescent="0.3">
      <c r="A41" s="75" t="s">
        <v>12</v>
      </c>
      <c r="B41" s="75" t="s">
        <v>9</v>
      </c>
      <c r="C41" s="75" t="s">
        <v>10</v>
      </c>
      <c r="D41" s="76">
        <v>46143</v>
      </c>
      <c r="E41" s="75" t="s">
        <v>134</v>
      </c>
      <c r="F41" s="77">
        <v>55</v>
      </c>
      <c r="G41" s="77">
        <v>36</v>
      </c>
      <c r="H41" s="77">
        <v>7</v>
      </c>
      <c r="I41" s="78">
        <v>0.65454545454545454</v>
      </c>
      <c r="J41" s="79">
        <v>6080.4</v>
      </c>
      <c r="K41" s="79">
        <v>692.3</v>
      </c>
      <c r="L41" s="79">
        <v>6772.7</v>
      </c>
      <c r="M41" s="79">
        <v>168.9</v>
      </c>
      <c r="N41" s="79">
        <v>98.9</v>
      </c>
    </row>
    <row r="42" spans="1:14" x14ac:dyDescent="0.3">
      <c r="A42" s="70" t="s">
        <v>114</v>
      </c>
      <c r="B42" s="70" t="s">
        <v>94</v>
      </c>
      <c r="C42" s="70" t="s">
        <v>23</v>
      </c>
      <c r="D42" s="71">
        <v>46143</v>
      </c>
      <c r="E42" s="70" t="s">
        <v>134</v>
      </c>
      <c r="F42" s="72">
        <v>53</v>
      </c>
      <c r="G42" s="72">
        <v>29</v>
      </c>
      <c r="H42" s="72">
        <v>11</v>
      </c>
      <c r="I42" s="73">
        <v>0.54716981132075471</v>
      </c>
      <c r="J42" s="74">
        <v>5739.1</v>
      </c>
      <c r="K42" s="74">
        <v>1307.9000000000001</v>
      </c>
      <c r="L42" s="74">
        <v>7047</v>
      </c>
      <c r="M42" s="74">
        <v>197.9</v>
      </c>
      <c r="N42" s="74">
        <v>118.9</v>
      </c>
    </row>
    <row r="43" spans="1:14" x14ac:dyDescent="0.3">
      <c r="A43" s="75" t="s">
        <v>41</v>
      </c>
      <c r="B43" s="75" t="s">
        <v>35</v>
      </c>
      <c r="C43" s="75" t="s">
        <v>10</v>
      </c>
      <c r="D43" s="76">
        <v>46143</v>
      </c>
      <c r="E43" s="75" t="s">
        <v>134</v>
      </c>
      <c r="F43" s="77">
        <v>62</v>
      </c>
      <c r="G43" s="77">
        <v>40</v>
      </c>
      <c r="H43" s="77">
        <v>7</v>
      </c>
      <c r="I43" s="78">
        <v>0.64516129032258063</v>
      </c>
      <c r="J43" s="79">
        <v>6756</v>
      </c>
      <c r="K43" s="79">
        <v>692.3</v>
      </c>
      <c r="L43" s="79">
        <v>7448.3</v>
      </c>
      <c r="M43" s="79">
        <v>168.9</v>
      </c>
      <c r="N43" s="79">
        <v>98.9</v>
      </c>
    </row>
    <row r="44" spans="1:14" x14ac:dyDescent="0.3">
      <c r="A44" s="70" t="s">
        <v>144</v>
      </c>
      <c r="B44" s="70" t="s">
        <v>35</v>
      </c>
      <c r="C44" s="70" t="s">
        <v>23</v>
      </c>
      <c r="D44" s="71">
        <v>46143</v>
      </c>
      <c r="E44" s="70" t="s">
        <v>134</v>
      </c>
      <c r="F44" s="72">
        <v>69</v>
      </c>
      <c r="G44" s="72">
        <v>25</v>
      </c>
      <c r="H44" s="72">
        <v>22</v>
      </c>
      <c r="I44" s="73">
        <v>0.36231884057971009</v>
      </c>
      <c r="J44" s="74">
        <v>4947.5</v>
      </c>
      <c r="K44" s="74">
        <v>2615.8000000000002</v>
      </c>
      <c r="L44" s="74">
        <v>7563.3</v>
      </c>
      <c r="M44" s="74">
        <v>197.9</v>
      </c>
      <c r="N44" s="74">
        <v>118.9</v>
      </c>
    </row>
    <row r="45" spans="1:14" x14ac:dyDescent="0.3">
      <c r="A45" s="75" t="s">
        <v>145</v>
      </c>
      <c r="B45" s="75" t="s">
        <v>35</v>
      </c>
      <c r="C45" s="75" t="s">
        <v>69</v>
      </c>
      <c r="D45" s="76">
        <v>46143</v>
      </c>
      <c r="E45" s="75" t="s">
        <v>134</v>
      </c>
      <c r="F45" s="77"/>
      <c r="G45" s="77">
        <v>50</v>
      </c>
      <c r="H45" s="77">
        <v>0</v>
      </c>
      <c r="I45" s="78"/>
      <c r="J45" s="79">
        <v>8445</v>
      </c>
      <c r="K45" s="79">
        <v>0</v>
      </c>
      <c r="L45" s="79">
        <v>8445</v>
      </c>
      <c r="M45" s="79">
        <v>168.9</v>
      </c>
      <c r="N45" s="79">
        <v>0</v>
      </c>
    </row>
    <row r="46" spans="1:14" x14ac:dyDescent="0.3">
      <c r="A46" s="70" t="s">
        <v>59</v>
      </c>
      <c r="B46" s="70" t="s">
        <v>60</v>
      </c>
      <c r="C46" s="70" t="s">
        <v>23</v>
      </c>
      <c r="D46" s="71">
        <v>46143</v>
      </c>
      <c r="E46" s="70" t="s">
        <v>134</v>
      </c>
      <c r="F46" s="72">
        <v>90</v>
      </c>
      <c r="G46" s="72">
        <v>38</v>
      </c>
      <c r="H46" s="72">
        <v>9</v>
      </c>
      <c r="I46" s="73">
        <v>0.42222222222222222</v>
      </c>
      <c r="J46" s="74">
        <v>7520.2</v>
      </c>
      <c r="K46" s="74">
        <v>1070.0999999999999</v>
      </c>
      <c r="L46" s="74">
        <v>8590.2999999999993</v>
      </c>
      <c r="M46" s="74">
        <v>197.9</v>
      </c>
      <c r="N46" s="74">
        <v>118.9</v>
      </c>
    </row>
    <row r="47" spans="1:14" x14ac:dyDescent="0.3">
      <c r="A47" s="75" t="s">
        <v>51</v>
      </c>
      <c r="B47" s="75" t="s">
        <v>35</v>
      </c>
      <c r="C47" s="75" t="s">
        <v>49</v>
      </c>
      <c r="D47" s="76">
        <v>46143</v>
      </c>
      <c r="E47" s="75" t="s">
        <v>134</v>
      </c>
      <c r="F47" s="77">
        <v>66</v>
      </c>
      <c r="G47" s="77">
        <v>36</v>
      </c>
      <c r="H47" s="77">
        <v>31</v>
      </c>
      <c r="I47" s="78">
        <v>0.54545454545454541</v>
      </c>
      <c r="J47" s="79">
        <v>6080.4</v>
      </c>
      <c r="K47" s="79">
        <v>3065.9</v>
      </c>
      <c r="L47" s="79">
        <v>9146.2999999999993</v>
      </c>
      <c r="M47" s="79">
        <v>168.9</v>
      </c>
      <c r="N47" s="79">
        <v>98.9</v>
      </c>
    </row>
    <row r="48" spans="1:14" x14ac:dyDescent="0.3">
      <c r="A48" s="70" t="s">
        <v>61</v>
      </c>
      <c r="B48" s="70" t="s">
        <v>35</v>
      </c>
      <c r="C48" s="70" t="s">
        <v>49</v>
      </c>
      <c r="D48" s="71">
        <v>46143</v>
      </c>
      <c r="E48" s="70" t="s">
        <v>134</v>
      </c>
      <c r="F48" s="72">
        <v>78</v>
      </c>
      <c r="G48" s="72">
        <v>38</v>
      </c>
      <c r="H48" s="72">
        <v>31</v>
      </c>
      <c r="I48" s="73">
        <v>0.48717948717948723</v>
      </c>
      <c r="J48" s="74">
        <v>6418.2</v>
      </c>
      <c r="K48" s="74">
        <v>3065.9</v>
      </c>
      <c r="L48" s="74">
        <v>9484.1</v>
      </c>
      <c r="M48" s="74">
        <v>168.9</v>
      </c>
      <c r="N48" s="74">
        <v>98.9</v>
      </c>
    </row>
    <row r="49" spans="1:14" x14ac:dyDescent="0.3">
      <c r="A49" s="75" t="s">
        <v>25</v>
      </c>
      <c r="B49" s="75" t="s">
        <v>22</v>
      </c>
      <c r="C49" s="75" t="s">
        <v>23</v>
      </c>
      <c r="D49" s="76">
        <v>46143</v>
      </c>
      <c r="E49" s="75" t="s">
        <v>134</v>
      </c>
      <c r="F49" s="77">
        <v>53</v>
      </c>
      <c r="G49" s="77">
        <v>32</v>
      </c>
      <c r="H49" s="77">
        <v>27</v>
      </c>
      <c r="I49" s="78">
        <v>0.60377358490566035</v>
      </c>
      <c r="J49" s="79">
        <v>6332.8</v>
      </c>
      <c r="K49" s="79">
        <v>3210.3</v>
      </c>
      <c r="L49" s="79">
        <v>9543.1</v>
      </c>
      <c r="M49" s="79">
        <v>197.9</v>
      </c>
      <c r="N49" s="79">
        <v>118.9</v>
      </c>
    </row>
    <row r="50" spans="1:14" x14ac:dyDescent="0.3">
      <c r="A50" s="70" t="s">
        <v>64</v>
      </c>
      <c r="B50" s="70" t="s">
        <v>65</v>
      </c>
      <c r="C50" s="70" t="s">
        <v>49</v>
      </c>
      <c r="D50" s="71">
        <v>46143</v>
      </c>
      <c r="E50" s="70" t="s">
        <v>134</v>
      </c>
      <c r="F50" s="72">
        <v>108</v>
      </c>
      <c r="G50" s="72">
        <v>45</v>
      </c>
      <c r="H50" s="72">
        <v>35</v>
      </c>
      <c r="I50" s="73">
        <v>0.41666666666666669</v>
      </c>
      <c r="J50" s="74">
        <v>7600.5</v>
      </c>
      <c r="K50" s="74">
        <v>3461.5</v>
      </c>
      <c r="L50" s="74">
        <v>11062</v>
      </c>
      <c r="M50" s="74">
        <v>168.9</v>
      </c>
      <c r="N50" s="74">
        <v>98.9</v>
      </c>
    </row>
    <row r="51" spans="1:14" x14ac:dyDescent="0.3">
      <c r="A51" s="75" t="s">
        <v>39</v>
      </c>
      <c r="B51" s="75" t="s">
        <v>35</v>
      </c>
      <c r="C51" s="75" t="s">
        <v>23</v>
      </c>
      <c r="D51" s="76">
        <v>46143</v>
      </c>
      <c r="E51" s="75" t="s">
        <v>134</v>
      </c>
      <c r="F51" s="77">
        <v>162</v>
      </c>
      <c r="G51" s="77">
        <v>50</v>
      </c>
      <c r="H51" s="77">
        <v>33</v>
      </c>
      <c r="I51" s="78">
        <v>0.30864197530864201</v>
      </c>
      <c r="J51" s="79">
        <v>9895</v>
      </c>
      <c r="K51" s="79">
        <v>3923.7</v>
      </c>
      <c r="L51" s="79">
        <v>13818.7</v>
      </c>
      <c r="M51" s="79">
        <v>197.9</v>
      </c>
      <c r="N51" s="79">
        <v>118.9</v>
      </c>
    </row>
    <row r="52" spans="1:14" x14ac:dyDescent="0.3">
      <c r="A52" s="70" t="s">
        <v>146</v>
      </c>
      <c r="B52" s="70" t="s">
        <v>35</v>
      </c>
      <c r="C52" s="70" t="s">
        <v>10</v>
      </c>
      <c r="D52" s="71">
        <v>46143</v>
      </c>
      <c r="E52" s="70" t="s">
        <v>134</v>
      </c>
      <c r="F52" s="72">
        <v>134</v>
      </c>
      <c r="G52" s="72">
        <v>105</v>
      </c>
      <c r="H52" s="72">
        <v>28</v>
      </c>
      <c r="I52" s="73">
        <v>0.78358208955223885</v>
      </c>
      <c r="J52" s="74">
        <v>17734.5</v>
      </c>
      <c r="K52" s="74">
        <v>2769.2</v>
      </c>
      <c r="L52" s="74">
        <v>20503.7</v>
      </c>
      <c r="M52" s="74">
        <v>168.9</v>
      </c>
      <c r="N52" s="74">
        <v>98.9</v>
      </c>
    </row>
    <row r="53" spans="1:14" x14ac:dyDescent="0.3">
      <c r="A53" s="75" t="s">
        <v>83</v>
      </c>
      <c r="B53" s="75" t="s">
        <v>55</v>
      </c>
      <c r="C53" s="75" t="s">
        <v>23</v>
      </c>
      <c r="D53" s="76">
        <v>46113</v>
      </c>
      <c r="E53" s="75" t="s">
        <v>147</v>
      </c>
      <c r="F53" s="77">
        <v>29</v>
      </c>
      <c r="G53" s="77">
        <v>0</v>
      </c>
      <c r="H53" s="77">
        <v>0</v>
      </c>
      <c r="I53" s="78">
        <v>0</v>
      </c>
      <c r="J53" s="79">
        <v>0</v>
      </c>
      <c r="K53" s="79">
        <v>0</v>
      </c>
      <c r="L53" s="79">
        <v>0</v>
      </c>
      <c r="M53" s="79">
        <v>197.9</v>
      </c>
      <c r="N53" s="79">
        <v>118.9</v>
      </c>
    </row>
    <row r="54" spans="1:14" x14ac:dyDescent="0.3">
      <c r="A54" s="70" t="s">
        <v>152</v>
      </c>
      <c r="B54" s="70" t="s">
        <v>55</v>
      </c>
      <c r="C54" s="70" t="s">
        <v>23</v>
      </c>
      <c r="D54" s="71">
        <v>46113</v>
      </c>
      <c r="E54" s="70" t="s">
        <v>147</v>
      </c>
      <c r="F54" s="72"/>
      <c r="G54" s="72"/>
      <c r="H54" s="72"/>
      <c r="I54" s="73"/>
      <c r="J54" s="74"/>
      <c r="K54" s="74"/>
      <c r="L54" s="74"/>
      <c r="M54" s="74">
        <v>197.9</v>
      </c>
      <c r="N54" s="74">
        <v>118.9</v>
      </c>
    </row>
    <row r="55" spans="1:14" x14ac:dyDescent="0.3">
      <c r="A55" s="75" t="s">
        <v>151</v>
      </c>
      <c r="B55" s="75" t="s">
        <v>55</v>
      </c>
      <c r="C55" s="75" t="s">
        <v>10</v>
      </c>
      <c r="D55" s="76">
        <v>46113</v>
      </c>
      <c r="E55" s="75" t="s">
        <v>147</v>
      </c>
      <c r="F55" s="77"/>
      <c r="G55" s="77"/>
      <c r="H55" s="77"/>
      <c r="I55" s="78"/>
      <c r="J55" s="79"/>
      <c r="K55" s="79"/>
      <c r="L55" s="79"/>
      <c r="M55" s="79">
        <v>168.9</v>
      </c>
      <c r="N55" s="79">
        <v>98.9</v>
      </c>
    </row>
    <row r="56" spans="1:14" x14ac:dyDescent="0.3">
      <c r="A56" s="70" t="s">
        <v>26</v>
      </c>
      <c r="B56" s="70" t="s">
        <v>22</v>
      </c>
      <c r="C56" s="70" t="s">
        <v>23</v>
      </c>
      <c r="D56" s="71">
        <v>46113</v>
      </c>
      <c r="E56" s="70" t="s">
        <v>147</v>
      </c>
      <c r="F56" s="72"/>
      <c r="G56" s="72"/>
      <c r="H56" s="72"/>
      <c r="I56" s="73"/>
      <c r="J56" s="74"/>
      <c r="K56" s="74"/>
      <c r="L56" s="74"/>
      <c r="M56" s="74">
        <v>197.9</v>
      </c>
      <c r="N56" s="74">
        <v>118.9</v>
      </c>
    </row>
    <row r="57" spans="1:14" x14ac:dyDescent="0.3">
      <c r="A57" s="75" t="s">
        <v>50</v>
      </c>
      <c r="B57" s="75" t="s">
        <v>35</v>
      </c>
      <c r="C57" s="75" t="s">
        <v>49</v>
      </c>
      <c r="D57" s="76">
        <v>46113</v>
      </c>
      <c r="E57" s="75" t="s">
        <v>147</v>
      </c>
      <c r="F57" s="77"/>
      <c r="G57" s="77"/>
      <c r="H57" s="77"/>
      <c r="I57" s="78"/>
      <c r="J57" s="79"/>
      <c r="K57" s="79"/>
      <c r="L57" s="79"/>
      <c r="M57" s="79">
        <v>168.9</v>
      </c>
      <c r="N57" s="79">
        <v>98.9</v>
      </c>
    </row>
    <row r="58" spans="1:14" x14ac:dyDescent="0.3">
      <c r="A58" s="70" t="s">
        <v>120</v>
      </c>
      <c r="B58" s="70" t="s">
        <v>35</v>
      </c>
      <c r="C58" s="70" t="s">
        <v>69</v>
      </c>
      <c r="D58" s="71">
        <v>46113</v>
      </c>
      <c r="E58" s="70" t="s">
        <v>147</v>
      </c>
      <c r="F58" s="72"/>
      <c r="G58" s="72"/>
      <c r="H58" s="72"/>
      <c r="I58" s="73"/>
      <c r="J58" s="74"/>
      <c r="K58" s="74"/>
      <c r="L58" s="74"/>
      <c r="M58" s="74">
        <v>168.9</v>
      </c>
      <c r="N58" s="74">
        <v>0</v>
      </c>
    </row>
    <row r="59" spans="1:14" x14ac:dyDescent="0.3">
      <c r="A59" s="75" t="s">
        <v>150</v>
      </c>
      <c r="B59" s="75" t="s">
        <v>94</v>
      </c>
      <c r="C59" s="75" t="s">
        <v>23</v>
      </c>
      <c r="D59" s="76">
        <v>46113</v>
      </c>
      <c r="E59" s="75" t="s">
        <v>147</v>
      </c>
      <c r="F59" s="77"/>
      <c r="G59" s="77"/>
      <c r="H59" s="77"/>
      <c r="I59" s="78"/>
      <c r="J59" s="79"/>
      <c r="K59" s="79"/>
      <c r="L59" s="79"/>
      <c r="M59" s="79">
        <v>197.9</v>
      </c>
      <c r="N59" s="79">
        <v>118.9</v>
      </c>
    </row>
    <row r="60" spans="1:14" x14ac:dyDescent="0.3">
      <c r="A60" s="70" t="s">
        <v>135</v>
      </c>
      <c r="B60" s="70" t="s">
        <v>55</v>
      </c>
      <c r="C60" s="70" t="s">
        <v>23</v>
      </c>
      <c r="D60" s="71">
        <v>46113</v>
      </c>
      <c r="E60" s="70" t="s">
        <v>147</v>
      </c>
      <c r="F60" s="72"/>
      <c r="G60" s="72"/>
      <c r="H60" s="72"/>
      <c r="I60" s="73"/>
      <c r="J60" s="74"/>
      <c r="K60" s="74"/>
      <c r="L60" s="74"/>
      <c r="M60" s="74">
        <v>197.9</v>
      </c>
      <c r="N60" s="74">
        <v>118.9</v>
      </c>
    </row>
    <row r="61" spans="1:14" x14ac:dyDescent="0.3">
      <c r="A61" s="75" t="s">
        <v>56</v>
      </c>
      <c r="B61" s="75" t="s">
        <v>55</v>
      </c>
      <c r="C61" s="75" t="s">
        <v>10</v>
      </c>
      <c r="D61" s="76">
        <v>46113</v>
      </c>
      <c r="E61" s="75" t="s">
        <v>147</v>
      </c>
      <c r="F61" s="77">
        <v>9</v>
      </c>
      <c r="G61" s="77">
        <v>2</v>
      </c>
      <c r="H61" s="77">
        <v>0</v>
      </c>
      <c r="I61" s="78">
        <v>0.22222222222222221</v>
      </c>
      <c r="J61" s="79">
        <v>337.8</v>
      </c>
      <c r="K61" s="79">
        <v>0</v>
      </c>
      <c r="L61" s="79">
        <v>337.8</v>
      </c>
      <c r="M61" s="79">
        <v>168.9</v>
      </c>
      <c r="N61" s="79">
        <v>98.9</v>
      </c>
    </row>
    <row r="62" spans="1:14" x14ac:dyDescent="0.3">
      <c r="A62" s="70" t="s">
        <v>98</v>
      </c>
      <c r="B62" s="70" t="s">
        <v>94</v>
      </c>
      <c r="C62" s="70" t="s">
        <v>23</v>
      </c>
      <c r="D62" s="71">
        <v>46113</v>
      </c>
      <c r="E62" s="70" t="s">
        <v>147</v>
      </c>
      <c r="F62" s="72">
        <v>55</v>
      </c>
      <c r="G62" s="72">
        <v>4</v>
      </c>
      <c r="H62" s="72">
        <v>0</v>
      </c>
      <c r="I62" s="73">
        <v>7.2727272727272724E-2</v>
      </c>
      <c r="J62" s="74">
        <v>791.6</v>
      </c>
      <c r="K62" s="74">
        <v>0</v>
      </c>
      <c r="L62" s="74">
        <v>791.6</v>
      </c>
      <c r="M62" s="74">
        <v>197.9</v>
      </c>
      <c r="N62" s="74">
        <v>118.9</v>
      </c>
    </row>
    <row r="63" spans="1:14" x14ac:dyDescent="0.3">
      <c r="A63" s="75" t="s">
        <v>97</v>
      </c>
      <c r="B63" s="75" t="s">
        <v>94</v>
      </c>
      <c r="C63" s="75" t="s">
        <v>23</v>
      </c>
      <c r="D63" s="76">
        <v>46113</v>
      </c>
      <c r="E63" s="75" t="s">
        <v>147</v>
      </c>
      <c r="F63" s="77">
        <v>66</v>
      </c>
      <c r="G63" s="77">
        <v>5</v>
      </c>
      <c r="H63" s="77">
        <v>1</v>
      </c>
      <c r="I63" s="78">
        <v>7.575757575757576E-2</v>
      </c>
      <c r="J63" s="79">
        <v>989.5</v>
      </c>
      <c r="K63" s="79">
        <v>118.9</v>
      </c>
      <c r="L63" s="79">
        <v>1108.4000000000001</v>
      </c>
      <c r="M63" s="79">
        <v>197.9</v>
      </c>
      <c r="N63" s="79">
        <v>118.9</v>
      </c>
    </row>
    <row r="64" spans="1:14" x14ac:dyDescent="0.3">
      <c r="A64" s="70" t="s">
        <v>138</v>
      </c>
      <c r="B64" s="70" t="s">
        <v>87</v>
      </c>
      <c r="C64" s="70" t="s">
        <v>23</v>
      </c>
      <c r="D64" s="71">
        <v>46113</v>
      </c>
      <c r="E64" s="70" t="s">
        <v>147</v>
      </c>
      <c r="F64" s="72">
        <v>52</v>
      </c>
      <c r="G64" s="72">
        <v>5</v>
      </c>
      <c r="H64" s="72">
        <v>2</v>
      </c>
      <c r="I64" s="73">
        <v>9.6153846153846159E-2</v>
      </c>
      <c r="J64" s="74">
        <v>989.5</v>
      </c>
      <c r="K64" s="74">
        <v>237.8</v>
      </c>
      <c r="L64" s="74">
        <v>1227.3</v>
      </c>
      <c r="M64" s="74">
        <v>197.9</v>
      </c>
      <c r="N64" s="74">
        <v>118.9</v>
      </c>
    </row>
    <row r="65" spans="1:14" x14ac:dyDescent="0.3">
      <c r="A65" s="75" t="s">
        <v>139</v>
      </c>
      <c r="B65" s="75" t="s">
        <v>60</v>
      </c>
      <c r="C65" s="75" t="s">
        <v>23</v>
      </c>
      <c r="D65" s="76">
        <v>46113</v>
      </c>
      <c r="E65" s="75" t="s">
        <v>147</v>
      </c>
      <c r="F65" s="77">
        <v>23</v>
      </c>
      <c r="G65" s="77">
        <v>6</v>
      </c>
      <c r="H65" s="77">
        <v>2</v>
      </c>
      <c r="I65" s="78">
        <v>0.2608695652173913</v>
      </c>
      <c r="J65" s="79">
        <v>1187.4000000000001</v>
      </c>
      <c r="K65" s="79">
        <v>237.8</v>
      </c>
      <c r="L65" s="79">
        <v>1425.2</v>
      </c>
      <c r="M65" s="79">
        <v>197.9</v>
      </c>
      <c r="N65" s="79">
        <v>118.9</v>
      </c>
    </row>
    <row r="66" spans="1:14" x14ac:dyDescent="0.3">
      <c r="A66" s="70" t="s">
        <v>30</v>
      </c>
      <c r="B66" s="70" t="s">
        <v>16</v>
      </c>
      <c r="C66" s="70" t="s">
        <v>10</v>
      </c>
      <c r="D66" s="71">
        <v>46113</v>
      </c>
      <c r="E66" s="70" t="s">
        <v>147</v>
      </c>
      <c r="F66" s="72">
        <v>66</v>
      </c>
      <c r="G66" s="72">
        <v>9</v>
      </c>
      <c r="H66" s="72">
        <v>0</v>
      </c>
      <c r="I66" s="73">
        <v>0.13636363636363641</v>
      </c>
      <c r="J66" s="74">
        <v>1520.1</v>
      </c>
      <c r="K66" s="74">
        <v>0</v>
      </c>
      <c r="L66" s="74">
        <v>1520.1</v>
      </c>
      <c r="M66" s="74">
        <v>168.9</v>
      </c>
      <c r="N66" s="74">
        <v>98.9</v>
      </c>
    </row>
    <row r="67" spans="1:14" x14ac:dyDescent="0.3">
      <c r="A67" s="75" t="s">
        <v>44</v>
      </c>
      <c r="B67" s="75" t="s">
        <v>35</v>
      </c>
      <c r="C67" s="75" t="s">
        <v>10</v>
      </c>
      <c r="D67" s="76">
        <v>46113</v>
      </c>
      <c r="E67" s="75" t="s">
        <v>147</v>
      </c>
      <c r="F67" s="77">
        <v>43</v>
      </c>
      <c r="G67" s="77">
        <v>9</v>
      </c>
      <c r="H67" s="77">
        <v>0</v>
      </c>
      <c r="I67" s="78">
        <v>0.20930232558139539</v>
      </c>
      <c r="J67" s="79">
        <v>1520.1</v>
      </c>
      <c r="K67" s="79">
        <v>0</v>
      </c>
      <c r="L67" s="79">
        <v>1520.1</v>
      </c>
      <c r="M67" s="79">
        <v>168.9</v>
      </c>
      <c r="N67" s="79">
        <v>98.9</v>
      </c>
    </row>
    <row r="68" spans="1:14" x14ac:dyDescent="0.3">
      <c r="A68" s="70" t="s">
        <v>82</v>
      </c>
      <c r="B68" s="70" t="s">
        <v>55</v>
      </c>
      <c r="C68" s="70" t="s">
        <v>23</v>
      </c>
      <c r="D68" s="71">
        <v>46113</v>
      </c>
      <c r="E68" s="70" t="s">
        <v>147</v>
      </c>
      <c r="F68" s="72">
        <v>42</v>
      </c>
      <c r="G68" s="72">
        <v>6</v>
      </c>
      <c r="H68" s="72">
        <v>4</v>
      </c>
      <c r="I68" s="73">
        <v>0.14285714285714279</v>
      </c>
      <c r="J68" s="74">
        <v>1187.4000000000001</v>
      </c>
      <c r="K68" s="74">
        <v>475.6</v>
      </c>
      <c r="L68" s="74">
        <v>1663</v>
      </c>
      <c r="M68" s="74">
        <v>197.9</v>
      </c>
      <c r="N68" s="74">
        <v>118.9</v>
      </c>
    </row>
    <row r="69" spans="1:14" x14ac:dyDescent="0.3">
      <c r="A69" s="75" t="s">
        <v>73</v>
      </c>
      <c r="B69" s="75" t="s">
        <v>35</v>
      </c>
      <c r="C69" s="75" t="s">
        <v>69</v>
      </c>
      <c r="D69" s="76">
        <v>46113</v>
      </c>
      <c r="E69" s="75" t="s">
        <v>147</v>
      </c>
      <c r="F69" s="77"/>
      <c r="G69" s="77">
        <v>11</v>
      </c>
      <c r="H69" s="77">
        <v>0</v>
      </c>
      <c r="I69" s="78"/>
      <c r="J69" s="79">
        <v>1857.9</v>
      </c>
      <c r="K69" s="79">
        <v>0</v>
      </c>
      <c r="L69" s="79">
        <v>1857.9</v>
      </c>
      <c r="M69" s="79">
        <v>168.9</v>
      </c>
      <c r="N69" s="79">
        <v>0</v>
      </c>
    </row>
    <row r="70" spans="1:14" x14ac:dyDescent="0.3">
      <c r="A70" s="70" t="s">
        <v>15</v>
      </c>
      <c r="B70" s="70" t="s">
        <v>16</v>
      </c>
      <c r="C70" s="70" t="s">
        <v>10</v>
      </c>
      <c r="D70" s="71">
        <v>46113</v>
      </c>
      <c r="E70" s="70" t="s">
        <v>147</v>
      </c>
      <c r="F70" s="72">
        <v>51</v>
      </c>
      <c r="G70" s="72">
        <v>12</v>
      </c>
      <c r="H70" s="72">
        <v>0</v>
      </c>
      <c r="I70" s="73">
        <v>0.23529411764705879</v>
      </c>
      <c r="J70" s="74">
        <v>2026.8</v>
      </c>
      <c r="K70" s="74">
        <v>0</v>
      </c>
      <c r="L70" s="74">
        <v>2026.8</v>
      </c>
      <c r="M70" s="74">
        <v>168.9</v>
      </c>
      <c r="N70" s="74">
        <v>98.9</v>
      </c>
    </row>
    <row r="71" spans="1:14" x14ac:dyDescent="0.3">
      <c r="A71" s="75" t="s">
        <v>115</v>
      </c>
      <c r="B71" s="75" t="s">
        <v>94</v>
      </c>
      <c r="C71" s="75" t="s">
        <v>23</v>
      </c>
      <c r="D71" s="76">
        <v>46113</v>
      </c>
      <c r="E71" s="75" t="s">
        <v>147</v>
      </c>
      <c r="F71" s="77">
        <v>61</v>
      </c>
      <c r="G71" s="77">
        <v>10</v>
      </c>
      <c r="H71" s="77">
        <v>1</v>
      </c>
      <c r="I71" s="78">
        <v>0.16393442622950821</v>
      </c>
      <c r="J71" s="79">
        <v>1979</v>
      </c>
      <c r="K71" s="79">
        <v>118.9</v>
      </c>
      <c r="L71" s="79">
        <v>2097.9</v>
      </c>
      <c r="M71" s="79">
        <v>197.9</v>
      </c>
      <c r="N71" s="79">
        <v>118.9</v>
      </c>
    </row>
    <row r="72" spans="1:14" x14ac:dyDescent="0.3">
      <c r="A72" s="70" t="s">
        <v>133</v>
      </c>
      <c r="B72" s="70" t="s">
        <v>16</v>
      </c>
      <c r="C72" s="70" t="s">
        <v>10</v>
      </c>
      <c r="D72" s="71">
        <v>46113</v>
      </c>
      <c r="E72" s="70" t="s">
        <v>147</v>
      </c>
      <c r="F72" s="72">
        <v>35</v>
      </c>
      <c r="G72" s="72">
        <v>14</v>
      </c>
      <c r="H72" s="72">
        <v>0</v>
      </c>
      <c r="I72" s="73">
        <v>0.4</v>
      </c>
      <c r="J72" s="74">
        <v>2364.6</v>
      </c>
      <c r="K72" s="74">
        <v>0</v>
      </c>
      <c r="L72" s="74">
        <v>2364.6</v>
      </c>
      <c r="M72" s="74">
        <v>168.9</v>
      </c>
      <c r="N72" s="74">
        <v>98.9</v>
      </c>
    </row>
    <row r="73" spans="1:14" x14ac:dyDescent="0.3">
      <c r="A73" s="75" t="s">
        <v>140</v>
      </c>
      <c r="B73" s="75" t="s">
        <v>35</v>
      </c>
      <c r="C73" s="75" t="s">
        <v>69</v>
      </c>
      <c r="D73" s="76">
        <v>46113</v>
      </c>
      <c r="E73" s="75" t="s">
        <v>147</v>
      </c>
      <c r="F73" s="77"/>
      <c r="G73" s="77">
        <v>14</v>
      </c>
      <c r="H73" s="77">
        <v>0</v>
      </c>
      <c r="I73" s="78"/>
      <c r="J73" s="79">
        <v>2364.6</v>
      </c>
      <c r="K73" s="79">
        <v>0</v>
      </c>
      <c r="L73" s="79">
        <v>2364.6</v>
      </c>
      <c r="M73" s="79">
        <v>168.9</v>
      </c>
      <c r="N73" s="79">
        <v>0</v>
      </c>
    </row>
    <row r="74" spans="1:14" x14ac:dyDescent="0.3">
      <c r="A74" s="70" t="s">
        <v>88</v>
      </c>
      <c r="B74" s="70" t="s">
        <v>87</v>
      </c>
      <c r="C74" s="70" t="s">
        <v>23</v>
      </c>
      <c r="D74" s="71">
        <v>46113</v>
      </c>
      <c r="E74" s="70" t="s">
        <v>147</v>
      </c>
      <c r="F74" s="72">
        <v>59</v>
      </c>
      <c r="G74" s="72">
        <v>11</v>
      </c>
      <c r="H74" s="72">
        <v>2</v>
      </c>
      <c r="I74" s="73">
        <v>0.1864406779661017</v>
      </c>
      <c r="J74" s="74">
        <v>2176.9</v>
      </c>
      <c r="K74" s="74">
        <v>237.8</v>
      </c>
      <c r="L74" s="74">
        <v>2414.6999999999998</v>
      </c>
      <c r="M74" s="74">
        <v>197.9</v>
      </c>
      <c r="N74" s="74">
        <v>118.9</v>
      </c>
    </row>
    <row r="75" spans="1:14" x14ac:dyDescent="0.3">
      <c r="A75" s="75" t="s">
        <v>62</v>
      </c>
      <c r="B75" s="75" t="s">
        <v>55</v>
      </c>
      <c r="C75" s="75" t="s">
        <v>10</v>
      </c>
      <c r="D75" s="76">
        <v>46113</v>
      </c>
      <c r="E75" s="75" t="s">
        <v>147</v>
      </c>
      <c r="F75" s="77">
        <v>77</v>
      </c>
      <c r="G75" s="77">
        <v>14</v>
      </c>
      <c r="H75" s="77">
        <v>1</v>
      </c>
      <c r="I75" s="78">
        <v>0.1818181818181818</v>
      </c>
      <c r="J75" s="79">
        <v>2364.6</v>
      </c>
      <c r="K75" s="79">
        <v>98.9</v>
      </c>
      <c r="L75" s="79">
        <v>2463.5</v>
      </c>
      <c r="M75" s="79">
        <v>168.9</v>
      </c>
      <c r="N75" s="79">
        <v>98.9</v>
      </c>
    </row>
    <row r="76" spans="1:14" x14ac:dyDescent="0.3">
      <c r="A76" s="70" t="s">
        <v>31</v>
      </c>
      <c r="B76" s="70" t="s">
        <v>16</v>
      </c>
      <c r="C76" s="70" t="s">
        <v>10</v>
      </c>
      <c r="D76" s="71">
        <v>46113</v>
      </c>
      <c r="E76" s="70" t="s">
        <v>147</v>
      </c>
      <c r="F76" s="72">
        <v>95</v>
      </c>
      <c r="G76" s="72">
        <v>17</v>
      </c>
      <c r="H76" s="72">
        <v>0</v>
      </c>
      <c r="I76" s="73">
        <v>0.1789473684210526</v>
      </c>
      <c r="J76" s="74">
        <v>2871.3</v>
      </c>
      <c r="K76" s="74">
        <v>0</v>
      </c>
      <c r="L76" s="74">
        <v>2871.3</v>
      </c>
      <c r="M76" s="74">
        <v>168.9</v>
      </c>
      <c r="N76" s="74">
        <v>98.9</v>
      </c>
    </row>
    <row r="77" spans="1:14" x14ac:dyDescent="0.3">
      <c r="A77" s="75" t="s">
        <v>153</v>
      </c>
      <c r="B77" s="75" t="s">
        <v>55</v>
      </c>
      <c r="C77" s="75" t="s">
        <v>23</v>
      </c>
      <c r="D77" s="76">
        <v>46113</v>
      </c>
      <c r="E77" s="75" t="s">
        <v>147</v>
      </c>
      <c r="F77" s="77">
        <v>66</v>
      </c>
      <c r="G77" s="77">
        <v>10</v>
      </c>
      <c r="H77" s="77">
        <v>8</v>
      </c>
      <c r="I77" s="78">
        <v>0.15151515151515149</v>
      </c>
      <c r="J77" s="79">
        <v>1979</v>
      </c>
      <c r="K77" s="79">
        <v>951.2</v>
      </c>
      <c r="L77" s="79">
        <v>2930.2</v>
      </c>
      <c r="M77" s="79">
        <v>197.9</v>
      </c>
      <c r="N77" s="79">
        <v>118.9</v>
      </c>
    </row>
    <row r="78" spans="1:14" x14ac:dyDescent="0.3">
      <c r="A78" s="70" t="s">
        <v>41</v>
      </c>
      <c r="B78" s="70" t="s">
        <v>35</v>
      </c>
      <c r="C78" s="70" t="s">
        <v>10</v>
      </c>
      <c r="D78" s="71">
        <v>46113</v>
      </c>
      <c r="E78" s="70" t="s">
        <v>147</v>
      </c>
      <c r="F78" s="72">
        <v>36</v>
      </c>
      <c r="G78" s="72">
        <v>18</v>
      </c>
      <c r="H78" s="72">
        <v>0</v>
      </c>
      <c r="I78" s="73">
        <v>0.5</v>
      </c>
      <c r="J78" s="74">
        <v>3040.2</v>
      </c>
      <c r="K78" s="74">
        <v>0</v>
      </c>
      <c r="L78" s="74">
        <v>3040.2</v>
      </c>
      <c r="M78" s="74">
        <v>168.9</v>
      </c>
      <c r="N78" s="74">
        <v>98.9</v>
      </c>
    </row>
    <row r="79" spans="1:14" x14ac:dyDescent="0.3">
      <c r="A79" s="75" t="s">
        <v>137</v>
      </c>
      <c r="B79" s="75" t="s">
        <v>35</v>
      </c>
      <c r="C79" s="75" t="s">
        <v>69</v>
      </c>
      <c r="D79" s="76">
        <v>46113</v>
      </c>
      <c r="E79" s="75" t="s">
        <v>147</v>
      </c>
      <c r="F79" s="77"/>
      <c r="G79" s="77">
        <v>19</v>
      </c>
      <c r="H79" s="77">
        <v>0</v>
      </c>
      <c r="I79" s="78"/>
      <c r="J79" s="79">
        <v>3209.1</v>
      </c>
      <c r="K79" s="79">
        <v>0</v>
      </c>
      <c r="L79" s="79">
        <v>3209.1</v>
      </c>
      <c r="M79" s="79">
        <v>168.9</v>
      </c>
      <c r="N79" s="79">
        <v>0</v>
      </c>
    </row>
    <row r="80" spans="1:14" x14ac:dyDescent="0.3">
      <c r="A80" s="70" t="s">
        <v>136</v>
      </c>
      <c r="B80" s="70" t="s">
        <v>55</v>
      </c>
      <c r="C80" s="70" t="s">
        <v>10</v>
      </c>
      <c r="D80" s="71">
        <v>46113</v>
      </c>
      <c r="E80" s="70" t="s">
        <v>147</v>
      </c>
      <c r="F80" s="72">
        <v>88</v>
      </c>
      <c r="G80" s="72">
        <v>19</v>
      </c>
      <c r="H80" s="72">
        <v>0</v>
      </c>
      <c r="I80" s="73">
        <v>0.21590909090909091</v>
      </c>
      <c r="J80" s="74">
        <v>3209.1</v>
      </c>
      <c r="K80" s="74">
        <v>0</v>
      </c>
      <c r="L80" s="74">
        <v>3209.1</v>
      </c>
      <c r="M80" s="74">
        <v>168.9</v>
      </c>
      <c r="N80" s="74">
        <v>98.9</v>
      </c>
    </row>
    <row r="81" spans="1:14" x14ac:dyDescent="0.3">
      <c r="A81" s="75" t="s">
        <v>76</v>
      </c>
      <c r="B81" s="75" t="s">
        <v>60</v>
      </c>
      <c r="C81" s="75" t="s">
        <v>23</v>
      </c>
      <c r="D81" s="76">
        <v>46113</v>
      </c>
      <c r="E81" s="75" t="s">
        <v>147</v>
      </c>
      <c r="F81" s="77">
        <v>84</v>
      </c>
      <c r="G81" s="77">
        <v>14</v>
      </c>
      <c r="H81" s="77">
        <v>5</v>
      </c>
      <c r="I81" s="78">
        <v>0.16666666666666671</v>
      </c>
      <c r="J81" s="79">
        <v>2770.6</v>
      </c>
      <c r="K81" s="79">
        <v>594.5</v>
      </c>
      <c r="L81" s="79">
        <v>3365.1</v>
      </c>
      <c r="M81" s="79">
        <v>197.9</v>
      </c>
      <c r="N81" s="79">
        <v>118.9</v>
      </c>
    </row>
    <row r="82" spans="1:14" x14ac:dyDescent="0.3">
      <c r="A82" s="70" t="s">
        <v>52</v>
      </c>
      <c r="B82" s="70" t="s">
        <v>35</v>
      </c>
      <c r="C82" s="70" t="s">
        <v>49</v>
      </c>
      <c r="D82" s="71">
        <v>46113</v>
      </c>
      <c r="E82" s="70" t="s">
        <v>147</v>
      </c>
      <c r="F82" s="72">
        <v>56</v>
      </c>
      <c r="G82" s="72">
        <v>17</v>
      </c>
      <c r="H82" s="72">
        <v>14</v>
      </c>
      <c r="I82" s="73">
        <v>0.30357142857142849</v>
      </c>
      <c r="J82" s="74">
        <v>2871.3</v>
      </c>
      <c r="K82" s="74">
        <v>1384.6</v>
      </c>
      <c r="L82" s="74">
        <v>4255.8999999999996</v>
      </c>
      <c r="M82" s="74">
        <v>168.9</v>
      </c>
      <c r="N82" s="74">
        <v>98.9</v>
      </c>
    </row>
    <row r="83" spans="1:14" x14ac:dyDescent="0.3">
      <c r="A83" s="75" t="s">
        <v>36</v>
      </c>
      <c r="B83" s="75" t="s">
        <v>35</v>
      </c>
      <c r="C83" s="75" t="s">
        <v>23</v>
      </c>
      <c r="D83" s="76">
        <v>46113</v>
      </c>
      <c r="E83" s="75" t="s">
        <v>147</v>
      </c>
      <c r="F83" s="77">
        <v>60</v>
      </c>
      <c r="G83" s="77">
        <v>18</v>
      </c>
      <c r="H83" s="77">
        <v>7</v>
      </c>
      <c r="I83" s="78">
        <v>0.3</v>
      </c>
      <c r="J83" s="79">
        <v>3562.2</v>
      </c>
      <c r="K83" s="79">
        <v>832.3</v>
      </c>
      <c r="L83" s="79">
        <v>4394.5</v>
      </c>
      <c r="M83" s="79">
        <v>197.9</v>
      </c>
      <c r="N83" s="79">
        <v>118.9</v>
      </c>
    </row>
    <row r="84" spans="1:14" x14ac:dyDescent="0.3">
      <c r="A84" s="70" t="s">
        <v>77</v>
      </c>
      <c r="B84" s="70" t="s">
        <v>60</v>
      </c>
      <c r="C84" s="70" t="s">
        <v>23</v>
      </c>
      <c r="D84" s="71">
        <v>46113</v>
      </c>
      <c r="E84" s="70" t="s">
        <v>147</v>
      </c>
      <c r="F84" s="72">
        <v>74</v>
      </c>
      <c r="G84" s="72">
        <v>21</v>
      </c>
      <c r="H84" s="72">
        <v>3</v>
      </c>
      <c r="I84" s="73">
        <v>0.28378378378378383</v>
      </c>
      <c r="J84" s="74">
        <v>4155.8999999999996</v>
      </c>
      <c r="K84" s="74">
        <v>356.7</v>
      </c>
      <c r="L84" s="74">
        <v>4512.6000000000004</v>
      </c>
      <c r="M84" s="74">
        <v>197.9</v>
      </c>
      <c r="N84" s="74">
        <v>118.9</v>
      </c>
    </row>
    <row r="85" spans="1:14" x14ac:dyDescent="0.3">
      <c r="A85" s="75" t="s">
        <v>90</v>
      </c>
      <c r="B85" s="75" t="s">
        <v>22</v>
      </c>
      <c r="C85" s="75" t="s">
        <v>23</v>
      </c>
      <c r="D85" s="76">
        <v>46113</v>
      </c>
      <c r="E85" s="75" t="s">
        <v>147</v>
      </c>
      <c r="F85" s="77">
        <v>60</v>
      </c>
      <c r="G85" s="77">
        <v>15</v>
      </c>
      <c r="H85" s="77">
        <v>13</v>
      </c>
      <c r="I85" s="78">
        <v>0.25</v>
      </c>
      <c r="J85" s="79">
        <v>2968.5</v>
      </c>
      <c r="K85" s="79">
        <v>1545.7</v>
      </c>
      <c r="L85" s="79">
        <v>4514.2</v>
      </c>
      <c r="M85" s="79">
        <v>197.9</v>
      </c>
      <c r="N85" s="79">
        <v>118.9</v>
      </c>
    </row>
    <row r="86" spans="1:14" x14ac:dyDescent="0.3">
      <c r="A86" s="70" t="s">
        <v>64</v>
      </c>
      <c r="B86" s="70" t="s">
        <v>65</v>
      </c>
      <c r="C86" s="70" t="s">
        <v>49</v>
      </c>
      <c r="D86" s="71">
        <v>46113</v>
      </c>
      <c r="E86" s="70" t="s">
        <v>147</v>
      </c>
      <c r="F86" s="72">
        <v>110</v>
      </c>
      <c r="G86" s="72">
        <v>19</v>
      </c>
      <c r="H86" s="72">
        <v>17</v>
      </c>
      <c r="I86" s="73">
        <v>0.1727272727272727</v>
      </c>
      <c r="J86" s="74">
        <v>3209.1</v>
      </c>
      <c r="K86" s="74">
        <v>1681.3</v>
      </c>
      <c r="L86" s="74">
        <v>4890.3999999999996</v>
      </c>
      <c r="M86" s="74">
        <v>168.9</v>
      </c>
      <c r="N86" s="74">
        <v>98.9</v>
      </c>
    </row>
    <row r="87" spans="1:14" x14ac:dyDescent="0.3">
      <c r="A87" s="75" t="s">
        <v>142</v>
      </c>
      <c r="B87" s="75" t="s">
        <v>9</v>
      </c>
      <c r="C87" s="75" t="s">
        <v>10</v>
      </c>
      <c r="D87" s="76">
        <v>46113</v>
      </c>
      <c r="E87" s="75" t="s">
        <v>147</v>
      </c>
      <c r="F87" s="77">
        <v>94</v>
      </c>
      <c r="G87" s="77">
        <v>32</v>
      </c>
      <c r="H87" s="77">
        <v>0</v>
      </c>
      <c r="I87" s="78">
        <v>0.34042553191489361</v>
      </c>
      <c r="J87" s="79">
        <v>5404.8</v>
      </c>
      <c r="K87" s="79">
        <v>0</v>
      </c>
      <c r="L87" s="79">
        <v>5404.8</v>
      </c>
      <c r="M87" s="79">
        <v>168.9</v>
      </c>
      <c r="N87" s="79">
        <v>98.9</v>
      </c>
    </row>
    <row r="88" spans="1:14" x14ac:dyDescent="0.3">
      <c r="A88" s="70" t="s">
        <v>91</v>
      </c>
      <c r="B88" s="70" t="s">
        <v>87</v>
      </c>
      <c r="C88" s="70" t="s">
        <v>23</v>
      </c>
      <c r="D88" s="71">
        <v>46113</v>
      </c>
      <c r="E88" s="70" t="s">
        <v>147</v>
      </c>
      <c r="F88" s="72">
        <v>80</v>
      </c>
      <c r="G88" s="72">
        <v>25</v>
      </c>
      <c r="H88" s="72">
        <v>12</v>
      </c>
      <c r="I88" s="73">
        <v>0.3125</v>
      </c>
      <c r="J88" s="74">
        <v>4947.5</v>
      </c>
      <c r="K88" s="74">
        <v>1426.8</v>
      </c>
      <c r="L88" s="74">
        <v>6374.3</v>
      </c>
      <c r="M88" s="74">
        <v>197.9</v>
      </c>
      <c r="N88" s="74">
        <v>118.9</v>
      </c>
    </row>
    <row r="89" spans="1:14" x14ac:dyDescent="0.3">
      <c r="A89" s="75" t="s">
        <v>114</v>
      </c>
      <c r="B89" s="75" t="s">
        <v>94</v>
      </c>
      <c r="C89" s="75" t="s">
        <v>23</v>
      </c>
      <c r="D89" s="76">
        <v>46113</v>
      </c>
      <c r="E89" s="75" t="s">
        <v>147</v>
      </c>
      <c r="F89" s="77">
        <v>61</v>
      </c>
      <c r="G89" s="77">
        <v>30</v>
      </c>
      <c r="H89" s="77">
        <v>7</v>
      </c>
      <c r="I89" s="78">
        <v>0.49180327868852458</v>
      </c>
      <c r="J89" s="79">
        <v>5937</v>
      </c>
      <c r="K89" s="79">
        <v>832.3</v>
      </c>
      <c r="L89" s="79">
        <v>6769.3</v>
      </c>
      <c r="M89" s="79">
        <v>197.9</v>
      </c>
      <c r="N89" s="79">
        <v>118.9</v>
      </c>
    </row>
    <row r="90" spans="1:14" x14ac:dyDescent="0.3">
      <c r="A90" s="70" t="s">
        <v>25</v>
      </c>
      <c r="B90" s="70" t="s">
        <v>22</v>
      </c>
      <c r="C90" s="70" t="s">
        <v>23</v>
      </c>
      <c r="D90" s="71">
        <v>46113</v>
      </c>
      <c r="E90" s="70" t="s">
        <v>147</v>
      </c>
      <c r="F90" s="72">
        <v>53</v>
      </c>
      <c r="G90" s="72">
        <v>23</v>
      </c>
      <c r="H90" s="72">
        <v>20</v>
      </c>
      <c r="I90" s="73">
        <v>0.43396226415094341</v>
      </c>
      <c r="J90" s="74">
        <v>4551.7</v>
      </c>
      <c r="K90" s="74">
        <v>2378</v>
      </c>
      <c r="L90" s="74">
        <v>6929.7</v>
      </c>
      <c r="M90" s="74">
        <v>197.9</v>
      </c>
      <c r="N90" s="74">
        <v>118.9</v>
      </c>
    </row>
    <row r="91" spans="1:14" x14ac:dyDescent="0.3">
      <c r="A91" s="75" t="s">
        <v>59</v>
      </c>
      <c r="B91" s="75" t="s">
        <v>60</v>
      </c>
      <c r="C91" s="75" t="s">
        <v>23</v>
      </c>
      <c r="D91" s="76">
        <v>46113</v>
      </c>
      <c r="E91" s="75" t="s">
        <v>147</v>
      </c>
      <c r="F91" s="77">
        <v>87</v>
      </c>
      <c r="G91" s="77">
        <v>30</v>
      </c>
      <c r="H91" s="77">
        <v>9</v>
      </c>
      <c r="I91" s="78">
        <v>0.34482758620689657</v>
      </c>
      <c r="J91" s="79">
        <v>5937</v>
      </c>
      <c r="K91" s="79">
        <v>1070.0999999999999</v>
      </c>
      <c r="L91" s="79">
        <v>7007.1</v>
      </c>
      <c r="M91" s="79">
        <v>197.9</v>
      </c>
      <c r="N91" s="79">
        <v>118.9</v>
      </c>
    </row>
    <row r="92" spans="1:14" x14ac:dyDescent="0.3">
      <c r="A92" s="70" t="s">
        <v>141</v>
      </c>
      <c r="B92" s="70" t="s">
        <v>35</v>
      </c>
      <c r="C92" s="70" t="s">
        <v>10</v>
      </c>
      <c r="D92" s="71">
        <v>46113</v>
      </c>
      <c r="E92" s="70" t="s">
        <v>147</v>
      </c>
      <c r="F92" s="72">
        <v>66</v>
      </c>
      <c r="G92" s="72">
        <v>43</v>
      </c>
      <c r="H92" s="72">
        <v>0</v>
      </c>
      <c r="I92" s="73">
        <v>0.65151515151515149</v>
      </c>
      <c r="J92" s="74">
        <v>7262.7</v>
      </c>
      <c r="K92" s="74">
        <v>0</v>
      </c>
      <c r="L92" s="74">
        <v>7262.7</v>
      </c>
      <c r="M92" s="74">
        <v>168.9</v>
      </c>
      <c r="N92" s="74">
        <v>98.9</v>
      </c>
    </row>
    <row r="93" spans="1:14" x14ac:dyDescent="0.3">
      <c r="A93" s="75" t="s">
        <v>19</v>
      </c>
      <c r="B93" s="75" t="s">
        <v>9</v>
      </c>
      <c r="C93" s="75" t="s">
        <v>10</v>
      </c>
      <c r="D93" s="76">
        <v>46113</v>
      </c>
      <c r="E93" s="75" t="s">
        <v>147</v>
      </c>
      <c r="F93" s="77">
        <v>103</v>
      </c>
      <c r="G93" s="77">
        <v>39</v>
      </c>
      <c r="H93" s="77">
        <v>8</v>
      </c>
      <c r="I93" s="78">
        <v>0.37864077669902912</v>
      </c>
      <c r="J93" s="79">
        <v>6587.1</v>
      </c>
      <c r="K93" s="79">
        <v>791.2</v>
      </c>
      <c r="L93" s="79">
        <v>7378.3</v>
      </c>
      <c r="M93" s="79">
        <v>168.9</v>
      </c>
      <c r="N93" s="79">
        <v>98.9</v>
      </c>
    </row>
    <row r="94" spans="1:14" x14ac:dyDescent="0.3">
      <c r="A94" s="70" t="s">
        <v>24</v>
      </c>
      <c r="B94" s="70" t="s">
        <v>22</v>
      </c>
      <c r="C94" s="70" t="s">
        <v>23</v>
      </c>
      <c r="D94" s="71">
        <v>46113</v>
      </c>
      <c r="E94" s="70" t="s">
        <v>147</v>
      </c>
      <c r="F94" s="72">
        <v>66</v>
      </c>
      <c r="G94" s="72">
        <v>30</v>
      </c>
      <c r="H94" s="72">
        <v>15</v>
      </c>
      <c r="I94" s="73">
        <v>0.45454545454545447</v>
      </c>
      <c r="J94" s="74">
        <v>5937</v>
      </c>
      <c r="K94" s="74">
        <v>1783.5</v>
      </c>
      <c r="L94" s="74">
        <v>7720.5</v>
      </c>
      <c r="M94" s="74">
        <v>197.9</v>
      </c>
      <c r="N94" s="74">
        <v>118.9</v>
      </c>
    </row>
    <row r="95" spans="1:14" x14ac:dyDescent="0.3">
      <c r="A95" s="75" t="s">
        <v>27</v>
      </c>
      <c r="B95" s="75" t="s">
        <v>22</v>
      </c>
      <c r="C95" s="75" t="s">
        <v>23</v>
      </c>
      <c r="D95" s="76">
        <v>46113</v>
      </c>
      <c r="E95" s="75" t="s">
        <v>147</v>
      </c>
      <c r="F95" s="77">
        <v>70</v>
      </c>
      <c r="G95" s="77">
        <v>34</v>
      </c>
      <c r="H95" s="77">
        <v>12</v>
      </c>
      <c r="I95" s="78">
        <v>0.48571428571428571</v>
      </c>
      <c r="J95" s="79">
        <v>6728.6</v>
      </c>
      <c r="K95" s="79">
        <v>1426.8</v>
      </c>
      <c r="L95" s="79">
        <v>8155.4</v>
      </c>
      <c r="M95" s="79">
        <v>197.9</v>
      </c>
      <c r="N95" s="79">
        <v>118.9</v>
      </c>
    </row>
    <row r="96" spans="1:14" x14ac:dyDescent="0.3">
      <c r="A96" s="70" t="s">
        <v>143</v>
      </c>
      <c r="B96" s="70" t="s">
        <v>35</v>
      </c>
      <c r="C96" s="70" t="s">
        <v>23</v>
      </c>
      <c r="D96" s="71">
        <v>46113</v>
      </c>
      <c r="E96" s="70" t="s">
        <v>147</v>
      </c>
      <c r="F96" s="72">
        <v>115</v>
      </c>
      <c r="G96" s="72">
        <v>30</v>
      </c>
      <c r="H96" s="72">
        <v>22</v>
      </c>
      <c r="I96" s="73">
        <v>0.2608695652173913</v>
      </c>
      <c r="J96" s="74">
        <v>5937</v>
      </c>
      <c r="K96" s="74">
        <v>2615.8000000000002</v>
      </c>
      <c r="L96" s="74">
        <v>8552.7999999999993</v>
      </c>
      <c r="M96" s="74">
        <v>197.9</v>
      </c>
      <c r="N96" s="74">
        <v>118.9</v>
      </c>
    </row>
    <row r="97" spans="1:14" x14ac:dyDescent="0.3">
      <c r="A97" s="75" t="s">
        <v>144</v>
      </c>
      <c r="B97" s="75" t="s">
        <v>35</v>
      </c>
      <c r="C97" s="75" t="s">
        <v>23</v>
      </c>
      <c r="D97" s="76">
        <v>46113</v>
      </c>
      <c r="E97" s="75" t="s">
        <v>147</v>
      </c>
      <c r="F97" s="77">
        <v>75</v>
      </c>
      <c r="G97" s="77">
        <v>30</v>
      </c>
      <c r="H97" s="77">
        <v>24</v>
      </c>
      <c r="I97" s="78">
        <v>0.4</v>
      </c>
      <c r="J97" s="79">
        <v>5937</v>
      </c>
      <c r="K97" s="79">
        <v>2853.6</v>
      </c>
      <c r="L97" s="79">
        <v>8790.6</v>
      </c>
      <c r="M97" s="79">
        <v>197.9</v>
      </c>
      <c r="N97" s="79">
        <v>118.9</v>
      </c>
    </row>
    <row r="98" spans="1:14" x14ac:dyDescent="0.3">
      <c r="A98" s="70" t="s">
        <v>145</v>
      </c>
      <c r="B98" s="70" t="s">
        <v>35</v>
      </c>
      <c r="C98" s="70" t="s">
        <v>69</v>
      </c>
      <c r="D98" s="71">
        <v>46113</v>
      </c>
      <c r="E98" s="70" t="s">
        <v>147</v>
      </c>
      <c r="F98" s="72"/>
      <c r="G98" s="72">
        <v>55</v>
      </c>
      <c r="H98" s="72">
        <v>0</v>
      </c>
      <c r="I98" s="73"/>
      <c r="J98" s="74">
        <v>9289.5</v>
      </c>
      <c r="K98" s="74">
        <v>0</v>
      </c>
      <c r="L98" s="74">
        <v>9289.5</v>
      </c>
      <c r="M98" s="74">
        <v>168.9</v>
      </c>
      <c r="N98" s="74">
        <v>0</v>
      </c>
    </row>
    <row r="99" spans="1:14" x14ac:dyDescent="0.3">
      <c r="A99" s="75" t="s">
        <v>61</v>
      </c>
      <c r="B99" s="75" t="s">
        <v>35</v>
      </c>
      <c r="C99" s="75" t="s">
        <v>49</v>
      </c>
      <c r="D99" s="76">
        <v>46113</v>
      </c>
      <c r="E99" s="75" t="s">
        <v>147</v>
      </c>
      <c r="F99" s="77">
        <v>71</v>
      </c>
      <c r="G99" s="77">
        <v>38</v>
      </c>
      <c r="H99" s="77">
        <v>30</v>
      </c>
      <c r="I99" s="78">
        <v>0.53521126760563376</v>
      </c>
      <c r="J99" s="79">
        <v>6418.2</v>
      </c>
      <c r="K99" s="79">
        <v>2967</v>
      </c>
      <c r="L99" s="79">
        <v>9385.2000000000007</v>
      </c>
      <c r="M99" s="79">
        <v>168.9</v>
      </c>
      <c r="N99" s="79">
        <v>98.9</v>
      </c>
    </row>
    <row r="100" spans="1:14" x14ac:dyDescent="0.3">
      <c r="A100" s="70" t="s">
        <v>39</v>
      </c>
      <c r="B100" s="70" t="s">
        <v>35</v>
      </c>
      <c r="C100" s="70" t="s">
        <v>23</v>
      </c>
      <c r="D100" s="71">
        <v>46113</v>
      </c>
      <c r="E100" s="70" t="s">
        <v>147</v>
      </c>
      <c r="F100" s="72">
        <v>85</v>
      </c>
      <c r="G100" s="72">
        <v>33</v>
      </c>
      <c r="H100" s="72">
        <v>29</v>
      </c>
      <c r="I100" s="73">
        <v>0.38823529411764712</v>
      </c>
      <c r="J100" s="74">
        <v>6530.7</v>
      </c>
      <c r="K100" s="74">
        <v>3448.1</v>
      </c>
      <c r="L100" s="74">
        <v>9978.7999999999993</v>
      </c>
      <c r="M100" s="74">
        <v>197.9</v>
      </c>
      <c r="N100" s="74">
        <v>118.9</v>
      </c>
    </row>
    <row r="101" spans="1:14" x14ac:dyDescent="0.3">
      <c r="A101" s="75" t="s">
        <v>12</v>
      </c>
      <c r="B101" s="75" t="s">
        <v>9</v>
      </c>
      <c r="C101" s="75" t="s">
        <v>10</v>
      </c>
      <c r="D101" s="76">
        <v>46113</v>
      </c>
      <c r="E101" s="75" t="s">
        <v>147</v>
      </c>
      <c r="F101" s="77">
        <v>98</v>
      </c>
      <c r="G101" s="77">
        <v>55</v>
      </c>
      <c r="H101" s="77">
        <v>22</v>
      </c>
      <c r="I101" s="78">
        <v>0.56122448979591832</v>
      </c>
      <c r="J101" s="79">
        <v>9289.5</v>
      </c>
      <c r="K101" s="79">
        <v>2175.8000000000002</v>
      </c>
      <c r="L101" s="79">
        <v>11465.3</v>
      </c>
      <c r="M101" s="79">
        <v>168.9</v>
      </c>
      <c r="N101" s="79">
        <v>98.9</v>
      </c>
    </row>
    <row r="102" spans="1:14" x14ac:dyDescent="0.3">
      <c r="A102" s="70" t="s">
        <v>51</v>
      </c>
      <c r="B102" s="70" t="s">
        <v>35</v>
      </c>
      <c r="C102" s="70" t="s">
        <v>49</v>
      </c>
      <c r="D102" s="71">
        <v>46113</v>
      </c>
      <c r="E102" s="70" t="s">
        <v>147</v>
      </c>
      <c r="F102" s="72">
        <v>88</v>
      </c>
      <c r="G102" s="72">
        <v>59</v>
      </c>
      <c r="H102" s="72">
        <v>52</v>
      </c>
      <c r="I102" s="73">
        <v>0.67045454545454541</v>
      </c>
      <c r="J102" s="74">
        <v>9965.1</v>
      </c>
      <c r="K102" s="74">
        <v>5142.8</v>
      </c>
      <c r="L102" s="74">
        <v>15107.9</v>
      </c>
      <c r="M102" s="74">
        <v>168.9</v>
      </c>
      <c r="N102" s="74">
        <v>98.9</v>
      </c>
    </row>
    <row r="103" spans="1:14" x14ac:dyDescent="0.3">
      <c r="A103" s="75" t="s">
        <v>146</v>
      </c>
      <c r="B103" s="75" t="s">
        <v>35</v>
      </c>
      <c r="C103" s="75" t="s">
        <v>10</v>
      </c>
      <c r="D103" s="76">
        <v>46113</v>
      </c>
      <c r="E103" s="75" t="s">
        <v>147</v>
      </c>
      <c r="F103" s="77">
        <v>156</v>
      </c>
      <c r="G103" s="77">
        <v>107</v>
      </c>
      <c r="H103" s="77">
        <v>0</v>
      </c>
      <c r="I103" s="78">
        <v>0.6858974358974359</v>
      </c>
      <c r="J103" s="79">
        <v>18072.3</v>
      </c>
      <c r="K103" s="79">
        <v>0</v>
      </c>
      <c r="L103" s="79">
        <v>18072.3</v>
      </c>
      <c r="M103" s="79">
        <v>168.9</v>
      </c>
      <c r="N103" s="79">
        <v>98.9</v>
      </c>
    </row>
    <row r="104" spans="1:14" x14ac:dyDescent="0.3">
      <c r="A104" s="70" t="s">
        <v>15</v>
      </c>
      <c r="B104" s="70" t="s">
        <v>16</v>
      </c>
      <c r="C104" s="70" t="s">
        <v>10</v>
      </c>
      <c r="D104" s="71">
        <v>46082</v>
      </c>
      <c r="E104" s="70" t="s">
        <v>148</v>
      </c>
      <c r="F104" s="72">
        <v>0</v>
      </c>
      <c r="G104" s="72">
        <v>0</v>
      </c>
      <c r="H104" s="72">
        <v>0</v>
      </c>
      <c r="I104" s="73">
        <v>0</v>
      </c>
      <c r="J104" s="74">
        <v>0</v>
      </c>
      <c r="K104" s="74">
        <v>0</v>
      </c>
      <c r="L104" s="74">
        <v>0</v>
      </c>
      <c r="M104" s="74">
        <v>168.9</v>
      </c>
      <c r="N104" s="74">
        <v>98.9</v>
      </c>
    </row>
    <row r="105" spans="1:14" x14ac:dyDescent="0.3">
      <c r="A105" s="75" t="s">
        <v>138</v>
      </c>
      <c r="B105" s="75" t="s">
        <v>87</v>
      </c>
      <c r="C105" s="75" t="s">
        <v>23</v>
      </c>
      <c r="D105" s="76">
        <v>46082</v>
      </c>
      <c r="E105" s="75" t="s">
        <v>148</v>
      </c>
      <c r="F105" s="77"/>
      <c r="G105" s="77"/>
      <c r="H105" s="77"/>
      <c r="I105" s="78"/>
      <c r="J105" s="79"/>
      <c r="K105" s="79"/>
      <c r="L105" s="79">
        <v>0</v>
      </c>
      <c r="M105" s="79">
        <v>197.9</v>
      </c>
      <c r="N105" s="79">
        <v>118.9</v>
      </c>
    </row>
    <row r="106" spans="1:14" x14ac:dyDescent="0.3">
      <c r="A106" s="70" t="s">
        <v>152</v>
      </c>
      <c r="B106" s="70" t="s">
        <v>55</v>
      </c>
      <c r="C106" s="70" t="s">
        <v>23</v>
      </c>
      <c r="D106" s="71">
        <v>46082</v>
      </c>
      <c r="E106" s="70" t="s">
        <v>148</v>
      </c>
      <c r="F106" s="72"/>
      <c r="G106" s="72"/>
      <c r="H106" s="72"/>
      <c r="I106" s="73"/>
      <c r="J106" s="74"/>
      <c r="K106" s="74"/>
      <c r="L106" s="74"/>
      <c r="M106" s="74">
        <v>197.9</v>
      </c>
      <c r="N106" s="74">
        <v>118.9</v>
      </c>
    </row>
    <row r="107" spans="1:14" x14ac:dyDescent="0.3">
      <c r="A107" s="75" t="s">
        <v>151</v>
      </c>
      <c r="B107" s="75" t="s">
        <v>55</v>
      </c>
      <c r="C107" s="75" t="s">
        <v>10</v>
      </c>
      <c r="D107" s="76">
        <v>46082</v>
      </c>
      <c r="E107" s="75" t="s">
        <v>148</v>
      </c>
      <c r="F107" s="77"/>
      <c r="G107" s="77"/>
      <c r="H107" s="77"/>
      <c r="I107" s="78"/>
      <c r="J107" s="79"/>
      <c r="K107" s="79"/>
      <c r="L107" s="79"/>
      <c r="M107" s="79">
        <v>168.9</v>
      </c>
      <c r="N107" s="79">
        <v>98.9</v>
      </c>
    </row>
    <row r="108" spans="1:14" x14ac:dyDescent="0.3">
      <c r="A108" s="70" t="s">
        <v>120</v>
      </c>
      <c r="B108" s="70" t="s">
        <v>35</v>
      </c>
      <c r="C108" s="70" t="s">
        <v>69</v>
      </c>
      <c r="D108" s="71">
        <v>46082</v>
      </c>
      <c r="E108" s="70" t="s">
        <v>148</v>
      </c>
      <c r="F108" s="72"/>
      <c r="G108" s="72"/>
      <c r="H108" s="72"/>
      <c r="I108" s="73"/>
      <c r="J108" s="74"/>
      <c r="K108" s="74"/>
      <c r="L108" s="74"/>
      <c r="M108" s="74">
        <v>168.9</v>
      </c>
      <c r="N108" s="74">
        <v>0</v>
      </c>
    </row>
    <row r="109" spans="1:14" x14ac:dyDescent="0.3">
      <c r="A109" s="75" t="s">
        <v>150</v>
      </c>
      <c r="B109" s="75" t="s">
        <v>94</v>
      </c>
      <c r="C109" s="75" t="s">
        <v>23</v>
      </c>
      <c r="D109" s="76">
        <v>46082</v>
      </c>
      <c r="E109" s="75" t="s">
        <v>148</v>
      </c>
      <c r="F109" s="77"/>
      <c r="G109" s="77"/>
      <c r="H109" s="77"/>
      <c r="I109" s="78"/>
      <c r="J109" s="79"/>
      <c r="K109" s="79"/>
      <c r="L109" s="79"/>
      <c r="M109" s="79">
        <v>197.9</v>
      </c>
      <c r="N109" s="79">
        <v>118.9</v>
      </c>
    </row>
    <row r="110" spans="1:14" x14ac:dyDescent="0.3">
      <c r="A110" s="70" t="s">
        <v>135</v>
      </c>
      <c r="B110" s="70" t="s">
        <v>55</v>
      </c>
      <c r="C110" s="70" t="s">
        <v>23</v>
      </c>
      <c r="D110" s="71">
        <v>46082</v>
      </c>
      <c r="E110" s="70" t="s">
        <v>148</v>
      </c>
      <c r="F110" s="72"/>
      <c r="G110" s="72"/>
      <c r="H110" s="72"/>
      <c r="I110" s="73"/>
      <c r="J110" s="74"/>
      <c r="K110" s="74"/>
      <c r="L110" s="74"/>
      <c r="M110" s="74">
        <v>197.9</v>
      </c>
      <c r="N110" s="74">
        <v>118.9</v>
      </c>
    </row>
    <row r="111" spans="1:14" x14ac:dyDescent="0.3">
      <c r="A111" s="75" t="s">
        <v>52</v>
      </c>
      <c r="B111" s="75" t="s">
        <v>35</v>
      </c>
      <c r="C111" s="75" t="s">
        <v>49</v>
      </c>
      <c r="D111" s="76">
        <v>46082</v>
      </c>
      <c r="E111" s="75" t="s">
        <v>148</v>
      </c>
      <c r="F111" s="77">
        <v>17</v>
      </c>
      <c r="G111" s="77">
        <v>1</v>
      </c>
      <c r="H111" s="77">
        <v>0</v>
      </c>
      <c r="I111" s="78">
        <v>5.8823529411764712E-2</v>
      </c>
      <c r="J111" s="79">
        <v>168.9</v>
      </c>
      <c r="K111" s="79">
        <v>0</v>
      </c>
      <c r="L111" s="79">
        <v>168.9</v>
      </c>
      <c r="M111" s="79">
        <v>168.9</v>
      </c>
      <c r="N111" s="79">
        <v>98.9</v>
      </c>
    </row>
    <row r="112" spans="1:14" x14ac:dyDescent="0.3">
      <c r="A112" s="70" t="s">
        <v>73</v>
      </c>
      <c r="B112" s="70" t="s">
        <v>35</v>
      </c>
      <c r="C112" s="70" t="s">
        <v>69</v>
      </c>
      <c r="D112" s="71">
        <v>46082</v>
      </c>
      <c r="E112" s="70" t="s">
        <v>148</v>
      </c>
      <c r="F112" s="72">
        <v>98</v>
      </c>
      <c r="G112" s="72">
        <v>1</v>
      </c>
      <c r="H112" s="72">
        <v>0</v>
      </c>
      <c r="I112" s="73">
        <v>1.020408163265306E-2</v>
      </c>
      <c r="J112" s="74">
        <v>168.9</v>
      </c>
      <c r="K112" s="74">
        <v>0</v>
      </c>
      <c r="L112" s="74">
        <v>168.9</v>
      </c>
      <c r="M112" s="74">
        <v>168.9</v>
      </c>
      <c r="N112" s="74">
        <v>0</v>
      </c>
    </row>
    <row r="113" spans="1:14" x14ac:dyDescent="0.3">
      <c r="A113" s="75" t="s">
        <v>83</v>
      </c>
      <c r="B113" s="75" t="s">
        <v>55</v>
      </c>
      <c r="C113" s="75" t="s">
        <v>23</v>
      </c>
      <c r="D113" s="76">
        <v>46082</v>
      </c>
      <c r="E113" s="75" t="s">
        <v>148</v>
      </c>
      <c r="F113" s="77">
        <v>58</v>
      </c>
      <c r="G113" s="77">
        <v>1</v>
      </c>
      <c r="H113" s="77">
        <v>1</v>
      </c>
      <c r="I113" s="78">
        <v>1.7241379310344831E-2</v>
      </c>
      <c r="J113" s="79">
        <v>197.9</v>
      </c>
      <c r="K113" s="79">
        <v>118.9</v>
      </c>
      <c r="L113" s="79">
        <v>316.8</v>
      </c>
      <c r="M113" s="79">
        <v>197.9</v>
      </c>
      <c r="N113" s="79">
        <v>118.9</v>
      </c>
    </row>
    <row r="114" spans="1:14" x14ac:dyDescent="0.3">
      <c r="A114" s="70" t="s">
        <v>82</v>
      </c>
      <c r="B114" s="70" t="s">
        <v>55</v>
      </c>
      <c r="C114" s="70" t="s">
        <v>23</v>
      </c>
      <c r="D114" s="71">
        <v>46082</v>
      </c>
      <c r="E114" s="70" t="s">
        <v>148</v>
      </c>
      <c r="F114" s="72">
        <v>43</v>
      </c>
      <c r="G114" s="72">
        <v>1</v>
      </c>
      <c r="H114" s="72">
        <v>1</v>
      </c>
      <c r="I114" s="73">
        <v>2.3255813953488368E-2</v>
      </c>
      <c r="J114" s="74">
        <v>197.9</v>
      </c>
      <c r="K114" s="74">
        <v>118.9</v>
      </c>
      <c r="L114" s="74">
        <v>316.8</v>
      </c>
      <c r="M114" s="74">
        <v>197.9</v>
      </c>
      <c r="N114" s="74">
        <v>118.9</v>
      </c>
    </row>
    <row r="115" spans="1:14" x14ac:dyDescent="0.3">
      <c r="A115" s="75" t="s">
        <v>140</v>
      </c>
      <c r="B115" s="75" t="s">
        <v>35</v>
      </c>
      <c r="C115" s="75" t="s">
        <v>69</v>
      </c>
      <c r="D115" s="76">
        <v>46082</v>
      </c>
      <c r="E115" s="75" t="s">
        <v>148</v>
      </c>
      <c r="F115" s="77">
        <v>97</v>
      </c>
      <c r="G115" s="77">
        <v>2</v>
      </c>
      <c r="H115" s="77">
        <v>0</v>
      </c>
      <c r="I115" s="78">
        <v>2.0618556701030931E-2</v>
      </c>
      <c r="J115" s="79">
        <v>337.8</v>
      </c>
      <c r="K115" s="79">
        <v>0</v>
      </c>
      <c r="L115" s="79">
        <v>337.8</v>
      </c>
      <c r="M115" s="79">
        <v>168.9</v>
      </c>
      <c r="N115" s="79">
        <v>0</v>
      </c>
    </row>
    <row r="116" spans="1:14" x14ac:dyDescent="0.3">
      <c r="A116" s="70" t="s">
        <v>44</v>
      </c>
      <c r="B116" s="70" t="s">
        <v>35</v>
      </c>
      <c r="C116" s="70" t="s">
        <v>10</v>
      </c>
      <c r="D116" s="71">
        <v>46082</v>
      </c>
      <c r="E116" s="70" t="s">
        <v>148</v>
      </c>
      <c r="F116" s="72">
        <v>24</v>
      </c>
      <c r="G116" s="72">
        <v>2</v>
      </c>
      <c r="H116" s="72">
        <v>0</v>
      </c>
      <c r="I116" s="73">
        <v>8.3333333333333329E-2</v>
      </c>
      <c r="J116" s="74">
        <v>337.8</v>
      </c>
      <c r="K116" s="74">
        <v>0</v>
      </c>
      <c r="L116" s="74">
        <v>337.8</v>
      </c>
      <c r="M116" s="74">
        <v>168.9</v>
      </c>
      <c r="N116" s="74">
        <v>98.9</v>
      </c>
    </row>
    <row r="117" spans="1:14" x14ac:dyDescent="0.3">
      <c r="A117" s="75" t="s">
        <v>139</v>
      </c>
      <c r="B117" s="75" t="s">
        <v>60</v>
      </c>
      <c r="C117" s="75" t="s">
        <v>23</v>
      </c>
      <c r="D117" s="76">
        <v>46082</v>
      </c>
      <c r="E117" s="75" t="s">
        <v>148</v>
      </c>
      <c r="F117" s="77">
        <v>73</v>
      </c>
      <c r="G117" s="77">
        <v>2</v>
      </c>
      <c r="H117" s="77">
        <v>1</v>
      </c>
      <c r="I117" s="78">
        <v>2.7397260273972601E-2</v>
      </c>
      <c r="J117" s="79">
        <v>395.8</v>
      </c>
      <c r="K117" s="79">
        <v>118.9</v>
      </c>
      <c r="L117" s="79">
        <v>514.70000000000005</v>
      </c>
      <c r="M117" s="79">
        <v>197.9</v>
      </c>
      <c r="N117" s="79">
        <v>118.9</v>
      </c>
    </row>
    <row r="118" spans="1:14" x14ac:dyDescent="0.3">
      <c r="A118" s="70" t="s">
        <v>50</v>
      </c>
      <c r="B118" s="70" t="s">
        <v>35</v>
      </c>
      <c r="C118" s="70" t="s">
        <v>49</v>
      </c>
      <c r="D118" s="71">
        <v>46082</v>
      </c>
      <c r="E118" s="70" t="s">
        <v>148</v>
      </c>
      <c r="F118" s="72">
        <v>4</v>
      </c>
      <c r="G118" s="72">
        <v>2</v>
      </c>
      <c r="H118" s="72">
        <v>2</v>
      </c>
      <c r="I118" s="73">
        <v>0.5</v>
      </c>
      <c r="J118" s="74">
        <v>337.8</v>
      </c>
      <c r="K118" s="74">
        <v>197.8</v>
      </c>
      <c r="L118" s="74">
        <v>535.6</v>
      </c>
      <c r="M118" s="74">
        <v>168.9</v>
      </c>
      <c r="N118" s="74">
        <v>98.9</v>
      </c>
    </row>
    <row r="119" spans="1:14" x14ac:dyDescent="0.3">
      <c r="A119" s="75" t="s">
        <v>97</v>
      </c>
      <c r="B119" s="75" t="s">
        <v>94</v>
      </c>
      <c r="C119" s="75" t="s">
        <v>23</v>
      </c>
      <c r="D119" s="76">
        <v>46082</v>
      </c>
      <c r="E119" s="75" t="s">
        <v>148</v>
      </c>
      <c r="F119" s="77">
        <v>51</v>
      </c>
      <c r="G119" s="77">
        <v>3</v>
      </c>
      <c r="H119" s="77">
        <v>0</v>
      </c>
      <c r="I119" s="78">
        <v>5.8823529411764712E-2</v>
      </c>
      <c r="J119" s="79">
        <v>593.70000000000005</v>
      </c>
      <c r="K119" s="79">
        <v>0</v>
      </c>
      <c r="L119" s="79">
        <v>593.70000000000005</v>
      </c>
      <c r="M119" s="79">
        <v>197.9</v>
      </c>
      <c r="N119" s="79">
        <v>118.9</v>
      </c>
    </row>
    <row r="120" spans="1:14" x14ac:dyDescent="0.3">
      <c r="A120" s="70" t="s">
        <v>115</v>
      </c>
      <c r="B120" s="70" t="s">
        <v>94</v>
      </c>
      <c r="C120" s="70" t="s">
        <v>23</v>
      </c>
      <c r="D120" s="71">
        <v>46082</v>
      </c>
      <c r="E120" s="70" t="s">
        <v>148</v>
      </c>
      <c r="F120" s="72">
        <v>64</v>
      </c>
      <c r="G120" s="72">
        <v>3</v>
      </c>
      <c r="H120" s="72">
        <v>1</v>
      </c>
      <c r="I120" s="73">
        <v>4.6875E-2</v>
      </c>
      <c r="J120" s="74">
        <v>593.70000000000005</v>
      </c>
      <c r="K120" s="74">
        <v>118.9</v>
      </c>
      <c r="L120" s="74">
        <v>712.6</v>
      </c>
      <c r="M120" s="74">
        <v>197.9</v>
      </c>
      <c r="N120" s="74">
        <v>118.9</v>
      </c>
    </row>
    <row r="121" spans="1:14" x14ac:dyDescent="0.3">
      <c r="A121" s="75" t="s">
        <v>26</v>
      </c>
      <c r="B121" s="75" t="s">
        <v>22</v>
      </c>
      <c r="C121" s="75" t="s">
        <v>23</v>
      </c>
      <c r="D121" s="76">
        <v>46082</v>
      </c>
      <c r="E121" s="75" t="s">
        <v>148</v>
      </c>
      <c r="F121" s="77">
        <v>17</v>
      </c>
      <c r="G121" s="77">
        <v>3</v>
      </c>
      <c r="H121" s="77">
        <v>2</v>
      </c>
      <c r="I121" s="78">
        <v>0.1764705882352941</v>
      </c>
      <c r="J121" s="79">
        <v>593.70000000000005</v>
      </c>
      <c r="K121" s="79">
        <v>237.8</v>
      </c>
      <c r="L121" s="79">
        <v>831.5</v>
      </c>
      <c r="M121" s="79">
        <v>197.9</v>
      </c>
      <c r="N121" s="79">
        <v>118.9</v>
      </c>
    </row>
    <row r="122" spans="1:14" x14ac:dyDescent="0.3">
      <c r="A122" s="70" t="s">
        <v>98</v>
      </c>
      <c r="B122" s="70" t="s">
        <v>94</v>
      </c>
      <c r="C122" s="70" t="s">
        <v>23</v>
      </c>
      <c r="D122" s="71">
        <v>46082</v>
      </c>
      <c r="E122" s="70" t="s">
        <v>148</v>
      </c>
      <c r="F122" s="72">
        <v>57</v>
      </c>
      <c r="G122" s="72">
        <v>4</v>
      </c>
      <c r="H122" s="72">
        <v>1</v>
      </c>
      <c r="I122" s="73">
        <v>7.0175438596491224E-2</v>
      </c>
      <c r="J122" s="74">
        <v>791.6</v>
      </c>
      <c r="K122" s="74">
        <v>118.9</v>
      </c>
      <c r="L122" s="74">
        <v>910.5</v>
      </c>
      <c r="M122" s="74">
        <v>197.9</v>
      </c>
      <c r="N122" s="74">
        <v>118.9</v>
      </c>
    </row>
    <row r="123" spans="1:14" x14ac:dyDescent="0.3">
      <c r="A123" s="75" t="s">
        <v>88</v>
      </c>
      <c r="B123" s="75" t="s">
        <v>87</v>
      </c>
      <c r="C123" s="75" t="s">
        <v>23</v>
      </c>
      <c r="D123" s="76">
        <v>46082</v>
      </c>
      <c r="E123" s="75" t="s">
        <v>148</v>
      </c>
      <c r="F123" s="77">
        <v>35</v>
      </c>
      <c r="G123" s="77">
        <v>7</v>
      </c>
      <c r="H123" s="77">
        <v>2</v>
      </c>
      <c r="I123" s="78">
        <v>0.2</v>
      </c>
      <c r="J123" s="79">
        <v>1385.3</v>
      </c>
      <c r="K123" s="79">
        <v>237.8</v>
      </c>
      <c r="L123" s="79">
        <v>1623.1</v>
      </c>
      <c r="M123" s="79">
        <v>197.9</v>
      </c>
      <c r="N123" s="79">
        <v>118.9</v>
      </c>
    </row>
    <row r="124" spans="1:14" x14ac:dyDescent="0.3">
      <c r="A124" s="70" t="s">
        <v>56</v>
      </c>
      <c r="B124" s="70" t="s">
        <v>55</v>
      </c>
      <c r="C124" s="70" t="s">
        <v>10</v>
      </c>
      <c r="D124" s="71">
        <v>46082</v>
      </c>
      <c r="E124" s="70" t="s">
        <v>148</v>
      </c>
      <c r="F124" s="72">
        <v>69</v>
      </c>
      <c r="G124" s="72">
        <v>10</v>
      </c>
      <c r="H124" s="72">
        <v>0</v>
      </c>
      <c r="I124" s="73">
        <v>0.14492753623188409</v>
      </c>
      <c r="J124" s="74">
        <v>1689</v>
      </c>
      <c r="K124" s="74">
        <v>0</v>
      </c>
      <c r="L124" s="74">
        <v>1689</v>
      </c>
      <c r="M124" s="74">
        <v>168.9</v>
      </c>
      <c r="N124" s="74">
        <v>98.9</v>
      </c>
    </row>
    <row r="125" spans="1:14" x14ac:dyDescent="0.3">
      <c r="A125" s="75" t="s">
        <v>90</v>
      </c>
      <c r="B125" s="75" t="s">
        <v>22</v>
      </c>
      <c r="C125" s="75" t="s">
        <v>23</v>
      </c>
      <c r="D125" s="76">
        <v>46082</v>
      </c>
      <c r="E125" s="75" t="s">
        <v>148</v>
      </c>
      <c r="F125" s="77">
        <v>40</v>
      </c>
      <c r="G125" s="77">
        <v>7</v>
      </c>
      <c r="H125" s="77">
        <v>6</v>
      </c>
      <c r="I125" s="78">
        <v>0.17499999999999999</v>
      </c>
      <c r="J125" s="79">
        <v>1385.3</v>
      </c>
      <c r="K125" s="79">
        <v>713.4</v>
      </c>
      <c r="L125" s="79">
        <v>2098.6999999999998</v>
      </c>
      <c r="M125" s="79">
        <v>197.9</v>
      </c>
      <c r="N125" s="79">
        <v>118.9</v>
      </c>
    </row>
    <row r="126" spans="1:14" x14ac:dyDescent="0.3">
      <c r="A126" s="70" t="s">
        <v>31</v>
      </c>
      <c r="B126" s="70" t="s">
        <v>16</v>
      </c>
      <c r="C126" s="70" t="s">
        <v>10</v>
      </c>
      <c r="D126" s="71">
        <v>46082</v>
      </c>
      <c r="E126" s="70" t="s">
        <v>148</v>
      </c>
      <c r="F126" s="72">
        <v>87</v>
      </c>
      <c r="G126" s="72">
        <v>13</v>
      </c>
      <c r="H126" s="72">
        <v>0</v>
      </c>
      <c r="I126" s="73">
        <v>0.14942528735632191</v>
      </c>
      <c r="J126" s="74">
        <v>2195.6999999999998</v>
      </c>
      <c r="K126" s="74">
        <v>0</v>
      </c>
      <c r="L126" s="74">
        <v>2195.6999999999998</v>
      </c>
      <c r="M126" s="74">
        <v>168.9</v>
      </c>
      <c r="N126" s="74">
        <v>98.9</v>
      </c>
    </row>
    <row r="127" spans="1:14" x14ac:dyDescent="0.3">
      <c r="A127" s="75" t="s">
        <v>30</v>
      </c>
      <c r="B127" s="75" t="s">
        <v>16</v>
      </c>
      <c r="C127" s="75" t="s">
        <v>10</v>
      </c>
      <c r="D127" s="76">
        <v>46082</v>
      </c>
      <c r="E127" s="75" t="s">
        <v>148</v>
      </c>
      <c r="F127" s="77">
        <v>82</v>
      </c>
      <c r="G127" s="77">
        <v>14</v>
      </c>
      <c r="H127" s="77">
        <v>0</v>
      </c>
      <c r="I127" s="78">
        <v>0.17073170731707321</v>
      </c>
      <c r="J127" s="79">
        <v>2364.6</v>
      </c>
      <c r="K127" s="79">
        <v>0</v>
      </c>
      <c r="L127" s="79">
        <v>2364.6</v>
      </c>
      <c r="M127" s="79">
        <v>168.9</v>
      </c>
      <c r="N127" s="79">
        <v>98.9</v>
      </c>
    </row>
    <row r="128" spans="1:14" x14ac:dyDescent="0.3">
      <c r="A128" s="70" t="s">
        <v>153</v>
      </c>
      <c r="B128" s="70" t="s">
        <v>55</v>
      </c>
      <c r="C128" s="70" t="s">
        <v>23</v>
      </c>
      <c r="D128" s="71">
        <v>46082</v>
      </c>
      <c r="E128" s="70" t="s">
        <v>148</v>
      </c>
      <c r="F128" s="72">
        <v>57</v>
      </c>
      <c r="G128" s="72">
        <v>9</v>
      </c>
      <c r="H128" s="72">
        <v>9</v>
      </c>
      <c r="I128" s="73">
        <v>0.15789473684210531</v>
      </c>
      <c r="J128" s="74">
        <v>1781.1</v>
      </c>
      <c r="K128" s="74">
        <v>1070.0999999999999</v>
      </c>
      <c r="L128" s="74">
        <v>2851.2</v>
      </c>
      <c r="M128" s="74">
        <v>197.9</v>
      </c>
      <c r="N128" s="74">
        <v>118.9</v>
      </c>
    </row>
    <row r="129" spans="1:14" x14ac:dyDescent="0.3">
      <c r="A129" s="75" t="s">
        <v>136</v>
      </c>
      <c r="B129" s="75" t="s">
        <v>55</v>
      </c>
      <c r="C129" s="75" t="s">
        <v>10</v>
      </c>
      <c r="D129" s="76">
        <v>46082</v>
      </c>
      <c r="E129" s="75" t="s">
        <v>148</v>
      </c>
      <c r="F129" s="77">
        <v>64</v>
      </c>
      <c r="G129" s="77">
        <v>17</v>
      </c>
      <c r="H129" s="77">
        <v>0</v>
      </c>
      <c r="I129" s="78">
        <v>0.265625</v>
      </c>
      <c r="J129" s="79">
        <v>2871.3</v>
      </c>
      <c r="K129" s="79">
        <v>0</v>
      </c>
      <c r="L129" s="79">
        <v>2871.3</v>
      </c>
      <c r="M129" s="79">
        <v>168.9</v>
      </c>
      <c r="N129" s="79">
        <v>98.9</v>
      </c>
    </row>
    <row r="130" spans="1:14" x14ac:dyDescent="0.3">
      <c r="A130" s="70" t="s">
        <v>76</v>
      </c>
      <c r="B130" s="70" t="s">
        <v>60</v>
      </c>
      <c r="C130" s="70" t="s">
        <v>23</v>
      </c>
      <c r="D130" s="71">
        <v>46082</v>
      </c>
      <c r="E130" s="70" t="s">
        <v>148</v>
      </c>
      <c r="F130" s="72">
        <v>75</v>
      </c>
      <c r="G130" s="72">
        <v>11</v>
      </c>
      <c r="H130" s="72">
        <v>7</v>
      </c>
      <c r="I130" s="73">
        <v>0.1466666666666667</v>
      </c>
      <c r="J130" s="74">
        <v>2176.9</v>
      </c>
      <c r="K130" s="74">
        <v>832.3</v>
      </c>
      <c r="L130" s="74">
        <v>3009.2</v>
      </c>
      <c r="M130" s="74">
        <v>197.9</v>
      </c>
      <c r="N130" s="74">
        <v>118.9</v>
      </c>
    </row>
    <row r="131" spans="1:14" x14ac:dyDescent="0.3">
      <c r="A131" s="75" t="s">
        <v>142</v>
      </c>
      <c r="B131" s="75" t="s">
        <v>9</v>
      </c>
      <c r="C131" s="75" t="s">
        <v>10</v>
      </c>
      <c r="D131" s="76">
        <v>46082</v>
      </c>
      <c r="E131" s="75" t="s">
        <v>148</v>
      </c>
      <c r="F131" s="77">
        <v>102</v>
      </c>
      <c r="G131" s="77">
        <v>18</v>
      </c>
      <c r="H131" s="77">
        <v>0</v>
      </c>
      <c r="I131" s="78">
        <v>0.1764705882352941</v>
      </c>
      <c r="J131" s="79">
        <v>3040.2</v>
      </c>
      <c r="K131" s="79">
        <v>0</v>
      </c>
      <c r="L131" s="79">
        <v>3040.2</v>
      </c>
      <c r="M131" s="79">
        <v>168.9</v>
      </c>
      <c r="N131" s="79">
        <v>98.9</v>
      </c>
    </row>
    <row r="132" spans="1:14" x14ac:dyDescent="0.3">
      <c r="A132" s="70" t="s">
        <v>77</v>
      </c>
      <c r="B132" s="70" t="s">
        <v>60</v>
      </c>
      <c r="C132" s="70" t="s">
        <v>23</v>
      </c>
      <c r="D132" s="71">
        <v>46082</v>
      </c>
      <c r="E132" s="70" t="s">
        <v>148</v>
      </c>
      <c r="F132" s="72">
        <v>72</v>
      </c>
      <c r="G132" s="72">
        <v>12</v>
      </c>
      <c r="H132" s="72">
        <v>6</v>
      </c>
      <c r="I132" s="73">
        <v>0.16666666666666671</v>
      </c>
      <c r="J132" s="74">
        <v>2374.8000000000002</v>
      </c>
      <c r="K132" s="74">
        <v>713.4</v>
      </c>
      <c r="L132" s="74">
        <v>3088.2</v>
      </c>
      <c r="M132" s="74">
        <v>197.9</v>
      </c>
      <c r="N132" s="74">
        <v>118.9</v>
      </c>
    </row>
    <row r="133" spans="1:14" x14ac:dyDescent="0.3">
      <c r="A133" s="75" t="s">
        <v>19</v>
      </c>
      <c r="B133" s="75" t="s">
        <v>9</v>
      </c>
      <c r="C133" s="75" t="s">
        <v>10</v>
      </c>
      <c r="D133" s="76">
        <v>46082</v>
      </c>
      <c r="E133" s="75" t="s">
        <v>148</v>
      </c>
      <c r="F133" s="77">
        <v>109</v>
      </c>
      <c r="G133" s="77">
        <v>19</v>
      </c>
      <c r="H133" s="77">
        <v>0</v>
      </c>
      <c r="I133" s="78">
        <v>0.1743119266055046</v>
      </c>
      <c r="J133" s="79">
        <v>3209.1</v>
      </c>
      <c r="K133" s="79">
        <v>0</v>
      </c>
      <c r="L133" s="79">
        <v>3209.1</v>
      </c>
      <c r="M133" s="79">
        <v>168.9</v>
      </c>
      <c r="N133" s="79">
        <v>98.9</v>
      </c>
    </row>
    <row r="134" spans="1:14" x14ac:dyDescent="0.3">
      <c r="A134" s="70" t="s">
        <v>62</v>
      </c>
      <c r="B134" s="70" t="s">
        <v>55</v>
      </c>
      <c r="C134" s="70" t="s">
        <v>10</v>
      </c>
      <c r="D134" s="71">
        <v>46082</v>
      </c>
      <c r="E134" s="70" t="s">
        <v>148</v>
      </c>
      <c r="F134" s="72">
        <v>83</v>
      </c>
      <c r="G134" s="72">
        <v>17</v>
      </c>
      <c r="H134" s="72">
        <v>4</v>
      </c>
      <c r="I134" s="73">
        <v>0.2048192771084337</v>
      </c>
      <c r="J134" s="74">
        <v>2871.3</v>
      </c>
      <c r="K134" s="74">
        <v>395.6</v>
      </c>
      <c r="L134" s="74">
        <v>3266.9</v>
      </c>
      <c r="M134" s="74">
        <v>168.9</v>
      </c>
      <c r="N134" s="74">
        <v>98.9</v>
      </c>
    </row>
    <row r="135" spans="1:14" x14ac:dyDescent="0.3">
      <c r="A135" s="75" t="s">
        <v>36</v>
      </c>
      <c r="B135" s="75" t="s">
        <v>35</v>
      </c>
      <c r="C135" s="75" t="s">
        <v>23</v>
      </c>
      <c r="D135" s="76">
        <v>46082</v>
      </c>
      <c r="E135" s="75" t="s">
        <v>148</v>
      </c>
      <c r="F135" s="77">
        <v>60</v>
      </c>
      <c r="G135" s="77">
        <v>16</v>
      </c>
      <c r="H135" s="77">
        <v>3</v>
      </c>
      <c r="I135" s="78">
        <v>0.26666666666666672</v>
      </c>
      <c r="J135" s="79">
        <v>3166.4</v>
      </c>
      <c r="K135" s="79">
        <v>356.7</v>
      </c>
      <c r="L135" s="79">
        <v>3523.1</v>
      </c>
      <c r="M135" s="79">
        <v>197.9</v>
      </c>
      <c r="N135" s="79">
        <v>118.9</v>
      </c>
    </row>
    <row r="136" spans="1:14" x14ac:dyDescent="0.3">
      <c r="A136" s="70" t="s">
        <v>114</v>
      </c>
      <c r="B136" s="70" t="s">
        <v>94</v>
      </c>
      <c r="C136" s="70" t="s">
        <v>23</v>
      </c>
      <c r="D136" s="71">
        <v>46082</v>
      </c>
      <c r="E136" s="70" t="s">
        <v>148</v>
      </c>
      <c r="F136" s="72">
        <v>61</v>
      </c>
      <c r="G136" s="72">
        <v>16</v>
      </c>
      <c r="H136" s="72">
        <v>4</v>
      </c>
      <c r="I136" s="73">
        <v>0.26229508196721307</v>
      </c>
      <c r="J136" s="74">
        <v>3166.4</v>
      </c>
      <c r="K136" s="74">
        <v>475.6</v>
      </c>
      <c r="L136" s="74">
        <v>3642</v>
      </c>
      <c r="M136" s="74">
        <v>197.9</v>
      </c>
      <c r="N136" s="74">
        <v>118.9</v>
      </c>
    </row>
    <row r="137" spans="1:14" x14ac:dyDescent="0.3">
      <c r="A137" s="75" t="s">
        <v>133</v>
      </c>
      <c r="B137" s="75" t="s">
        <v>16</v>
      </c>
      <c r="C137" s="75" t="s">
        <v>10</v>
      </c>
      <c r="D137" s="76">
        <v>46082</v>
      </c>
      <c r="E137" s="75" t="s">
        <v>148</v>
      </c>
      <c r="F137" s="77">
        <v>70</v>
      </c>
      <c r="G137" s="77">
        <v>27</v>
      </c>
      <c r="H137" s="77">
        <v>0</v>
      </c>
      <c r="I137" s="78">
        <v>0.38571428571428568</v>
      </c>
      <c r="J137" s="79">
        <v>4560.3</v>
      </c>
      <c r="K137" s="79">
        <v>0</v>
      </c>
      <c r="L137" s="79">
        <v>4560.3</v>
      </c>
      <c r="M137" s="79">
        <v>168.9</v>
      </c>
      <c r="N137" s="79">
        <v>98.9</v>
      </c>
    </row>
    <row r="138" spans="1:14" x14ac:dyDescent="0.3">
      <c r="A138" s="70" t="s">
        <v>141</v>
      </c>
      <c r="B138" s="70" t="s">
        <v>35</v>
      </c>
      <c r="C138" s="70" t="s">
        <v>10</v>
      </c>
      <c r="D138" s="71">
        <v>46082</v>
      </c>
      <c r="E138" s="70" t="s">
        <v>148</v>
      </c>
      <c r="F138" s="72">
        <v>59</v>
      </c>
      <c r="G138" s="72">
        <v>31</v>
      </c>
      <c r="H138" s="72">
        <v>0</v>
      </c>
      <c r="I138" s="73">
        <v>0.52542372881355937</v>
      </c>
      <c r="J138" s="74">
        <v>5235.8999999999996</v>
      </c>
      <c r="K138" s="74">
        <v>0</v>
      </c>
      <c r="L138" s="74">
        <v>5235.8999999999996</v>
      </c>
      <c r="M138" s="74">
        <v>168.9</v>
      </c>
      <c r="N138" s="74">
        <v>98.9</v>
      </c>
    </row>
    <row r="139" spans="1:14" x14ac:dyDescent="0.3">
      <c r="A139" s="75" t="s">
        <v>41</v>
      </c>
      <c r="B139" s="75" t="s">
        <v>35</v>
      </c>
      <c r="C139" s="75" t="s">
        <v>10</v>
      </c>
      <c r="D139" s="76">
        <v>46082</v>
      </c>
      <c r="E139" s="75" t="s">
        <v>148</v>
      </c>
      <c r="F139" s="77">
        <v>56</v>
      </c>
      <c r="G139" s="77">
        <v>35</v>
      </c>
      <c r="H139" s="77">
        <v>0</v>
      </c>
      <c r="I139" s="78">
        <v>0.625</v>
      </c>
      <c r="J139" s="79">
        <v>5911.5</v>
      </c>
      <c r="K139" s="79">
        <v>0</v>
      </c>
      <c r="L139" s="79">
        <v>5911.5</v>
      </c>
      <c r="M139" s="79">
        <v>168.9</v>
      </c>
      <c r="N139" s="79">
        <v>98.9</v>
      </c>
    </row>
    <row r="140" spans="1:14" x14ac:dyDescent="0.3">
      <c r="A140" s="70" t="s">
        <v>137</v>
      </c>
      <c r="B140" s="70" t="s">
        <v>35</v>
      </c>
      <c r="C140" s="70" t="s">
        <v>69</v>
      </c>
      <c r="D140" s="71">
        <v>46082</v>
      </c>
      <c r="E140" s="70" t="s">
        <v>148</v>
      </c>
      <c r="F140" s="72">
        <v>130</v>
      </c>
      <c r="G140" s="72">
        <v>39</v>
      </c>
      <c r="H140" s="72">
        <v>0</v>
      </c>
      <c r="I140" s="73">
        <v>0.3</v>
      </c>
      <c r="J140" s="74">
        <v>6587.1</v>
      </c>
      <c r="K140" s="74">
        <v>0</v>
      </c>
      <c r="L140" s="74">
        <v>6587.1</v>
      </c>
      <c r="M140" s="74">
        <v>168.9</v>
      </c>
      <c r="N140" s="74">
        <v>0</v>
      </c>
    </row>
    <row r="141" spans="1:14" x14ac:dyDescent="0.3">
      <c r="A141" s="75" t="s">
        <v>24</v>
      </c>
      <c r="B141" s="75" t="s">
        <v>22</v>
      </c>
      <c r="C141" s="75" t="s">
        <v>23</v>
      </c>
      <c r="D141" s="76">
        <v>46082</v>
      </c>
      <c r="E141" s="75" t="s">
        <v>148</v>
      </c>
      <c r="F141" s="77">
        <v>69</v>
      </c>
      <c r="G141" s="77">
        <v>29</v>
      </c>
      <c r="H141" s="77">
        <v>12</v>
      </c>
      <c r="I141" s="78">
        <v>0.42028985507246369</v>
      </c>
      <c r="J141" s="79">
        <v>5739.1</v>
      </c>
      <c r="K141" s="79">
        <v>1426.8</v>
      </c>
      <c r="L141" s="79">
        <v>7165.9</v>
      </c>
      <c r="M141" s="79">
        <v>197.9</v>
      </c>
      <c r="N141" s="79">
        <v>118.9</v>
      </c>
    </row>
    <row r="142" spans="1:14" x14ac:dyDescent="0.3">
      <c r="A142" s="70" t="s">
        <v>64</v>
      </c>
      <c r="B142" s="70" t="s">
        <v>65</v>
      </c>
      <c r="C142" s="70" t="s">
        <v>49</v>
      </c>
      <c r="D142" s="71">
        <v>46082</v>
      </c>
      <c r="E142" s="70" t="s">
        <v>148</v>
      </c>
      <c r="F142" s="72">
        <v>135</v>
      </c>
      <c r="G142" s="72">
        <v>30</v>
      </c>
      <c r="H142" s="72">
        <v>23</v>
      </c>
      <c r="I142" s="73">
        <v>0.22222222222222221</v>
      </c>
      <c r="J142" s="74">
        <v>5067</v>
      </c>
      <c r="K142" s="74">
        <v>2274.6999999999998</v>
      </c>
      <c r="L142" s="74">
        <v>7341.7</v>
      </c>
      <c r="M142" s="74">
        <v>168.9</v>
      </c>
      <c r="N142" s="74">
        <v>98.9</v>
      </c>
    </row>
    <row r="143" spans="1:14" x14ac:dyDescent="0.3">
      <c r="A143" s="75" t="s">
        <v>145</v>
      </c>
      <c r="B143" s="75" t="s">
        <v>35</v>
      </c>
      <c r="C143" s="75" t="s">
        <v>69</v>
      </c>
      <c r="D143" s="76">
        <v>46082</v>
      </c>
      <c r="E143" s="75" t="s">
        <v>148</v>
      </c>
      <c r="F143" s="77">
        <v>118</v>
      </c>
      <c r="G143" s="77">
        <v>45</v>
      </c>
      <c r="H143" s="77">
        <v>0</v>
      </c>
      <c r="I143" s="78">
        <v>0.38135593220338981</v>
      </c>
      <c r="J143" s="79">
        <v>7600.5</v>
      </c>
      <c r="K143" s="79">
        <v>0</v>
      </c>
      <c r="L143" s="79">
        <v>7600.5</v>
      </c>
      <c r="M143" s="79">
        <v>168.9</v>
      </c>
      <c r="N143" s="79">
        <v>0</v>
      </c>
    </row>
    <row r="144" spans="1:14" x14ac:dyDescent="0.3">
      <c r="A144" s="70" t="s">
        <v>59</v>
      </c>
      <c r="B144" s="70" t="s">
        <v>60</v>
      </c>
      <c r="C144" s="70" t="s">
        <v>23</v>
      </c>
      <c r="D144" s="71">
        <v>46082</v>
      </c>
      <c r="E144" s="70" t="s">
        <v>148</v>
      </c>
      <c r="F144" s="72">
        <v>85</v>
      </c>
      <c r="G144" s="72">
        <v>32</v>
      </c>
      <c r="H144" s="72">
        <v>13</v>
      </c>
      <c r="I144" s="73">
        <v>0.37647058823529411</v>
      </c>
      <c r="J144" s="74">
        <v>6332.8</v>
      </c>
      <c r="K144" s="74">
        <v>1545.7</v>
      </c>
      <c r="L144" s="74">
        <v>7878.5</v>
      </c>
      <c r="M144" s="74">
        <v>197.9</v>
      </c>
      <c r="N144" s="74">
        <v>118.9</v>
      </c>
    </row>
    <row r="145" spans="1:14" x14ac:dyDescent="0.3">
      <c r="A145" s="75" t="s">
        <v>12</v>
      </c>
      <c r="B145" s="75" t="s">
        <v>9</v>
      </c>
      <c r="C145" s="75" t="s">
        <v>10</v>
      </c>
      <c r="D145" s="76">
        <v>46082</v>
      </c>
      <c r="E145" s="75" t="s">
        <v>148</v>
      </c>
      <c r="F145" s="77">
        <v>101</v>
      </c>
      <c r="G145" s="77">
        <v>43</v>
      </c>
      <c r="H145" s="77">
        <v>9</v>
      </c>
      <c r="I145" s="78">
        <v>0.42574257425742568</v>
      </c>
      <c r="J145" s="79">
        <v>7262.7</v>
      </c>
      <c r="K145" s="79">
        <v>890.1</v>
      </c>
      <c r="L145" s="79">
        <v>8152.8</v>
      </c>
      <c r="M145" s="79">
        <v>168.9</v>
      </c>
      <c r="N145" s="79">
        <v>98.9</v>
      </c>
    </row>
    <row r="146" spans="1:14" x14ac:dyDescent="0.3">
      <c r="A146" s="70" t="s">
        <v>25</v>
      </c>
      <c r="B146" s="70" t="s">
        <v>22</v>
      </c>
      <c r="C146" s="70" t="s">
        <v>23</v>
      </c>
      <c r="D146" s="71">
        <v>46082</v>
      </c>
      <c r="E146" s="70" t="s">
        <v>148</v>
      </c>
      <c r="F146" s="72">
        <v>102</v>
      </c>
      <c r="G146" s="72">
        <v>42</v>
      </c>
      <c r="H146" s="72">
        <v>18</v>
      </c>
      <c r="I146" s="73">
        <v>0.41176470588235292</v>
      </c>
      <c r="J146" s="74">
        <v>8311.7999999999993</v>
      </c>
      <c r="K146" s="74">
        <v>2140.1999999999998</v>
      </c>
      <c r="L146" s="74">
        <v>10452</v>
      </c>
      <c r="M146" s="74">
        <v>197.9</v>
      </c>
      <c r="N146" s="74">
        <v>118.9</v>
      </c>
    </row>
    <row r="147" spans="1:14" x14ac:dyDescent="0.3">
      <c r="A147" s="75" t="s">
        <v>27</v>
      </c>
      <c r="B147" s="75" t="s">
        <v>22</v>
      </c>
      <c r="C147" s="75" t="s">
        <v>23</v>
      </c>
      <c r="D147" s="76">
        <v>46082</v>
      </c>
      <c r="E147" s="75" t="s">
        <v>148</v>
      </c>
      <c r="F147" s="77">
        <v>86</v>
      </c>
      <c r="G147" s="77">
        <v>53</v>
      </c>
      <c r="H147" s="77">
        <v>6</v>
      </c>
      <c r="I147" s="78">
        <v>0.61627906976744184</v>
      </c>
      <c r="J147" s="79">
        <v>10488.7</v>
      </c>
      <c r="K147" s="79">
        <v>713.4</v>
      </c>
      <c r="L147" s="79">
        <v>11202.1</v>
      </c>
      <c r="M147" s="79">
        <v>197.9</v>
      </c>
      <c r="N147" s="79">
        <v>118.9</v>
      </c>
    </row>
    <row r="148" spans="1:14" x14ac:dyDescent="0.3">
      <c r="A148" s="70" t="s">
        <v>91</v>
      </c>
      <c r="B148" s="70" t="s">
        <v>87</v>
      </c>
      <c r="C148" s="70" t="s">
        <v>23</v>
      </c>
      <c r="D148" s="71">
        <v>46082</v>
      </c>
      <c r="E148" s="70" t="s">
        <v>148</v>
      </c>
      <c r="F148" s="72">
        <v>64</v>
      </c>
      <c r="G148" s="72">
        <v>40</v>
      </c>
      <c r="H148" s="72">
        <v>30</v>
      </c>
      <c r="I148" s="73">
        <v>0.625</v>
      </c>
      <c r="J148" s="74">
        <v>7916</v>
      </c>
      <c r="K148" s="74">
        <v>3567</v>
      </c>
      <c r="L148" s="74">
        <v>11483</v>
      </c>
      <c r="M148" s="74">
        <v>197.9</v>
      </c>
      <c r="N148" s="74">
        <v>118.9</v>
      </c>
    </row>
    <row r="149" spans="1:14" x14ac:dyDescent="0.3">
      <c r="A149" s="75" t="s">
        <v>144</v>
      </c>
      <c r="B149" s="75" t="s">
        <v>35</v>
      </c>
      <c r="C149" s="75" t="s">
        <v>23</v>
      </c>
      <c r="D149" s="76">
        <v>46082</v>
      </c>
      <c r="E149" s="75" t="s">
        <v>148</v>
      </c>
      <c r="F149" s="77">
        <v>63</v>
      </c>
      <c r="G149" s="77">
        <v>39</v>
      </c>
      <c r="H149" s="77">
        <v>32</v>
      </c>
      <c r="I149" s="78">
        <v>0.61904761904761907</v>
      </c>
      <c r="J149" s="79">
        <v>7718.1</v>
      </c>
      <c r="K149" s="79">
        <v>3804.8</v>
      </c>
      <c r="L149" s="79">
        <v>11522.9</v>
      </c>
      <c r="M149" s="79">
        <v>197.9</v>
      </c>
      <c r="N149" s="79">
        <v>118.9</v>
      </c>
    </row>
    <row r="150" spans="1:14" x14ac:dyDescent="0.3">
      <c r="A150" s="70" t="s">
        <v>61</v>
      </c>
      <c r="B150" s="70" t="s">
        <v>35</v>
      </c>
      <c r="C150" s="70" t="s">
        <v>49</v>
      </c>
      <c r="D150" s="71">
        <v>46082</v>
      </c>
      <c r="E150" s="70" t="s">
        <v>148</v>
      </c>
      <c r="F150" s="72">
        <v>116</v>
      </c>
      <c r="G150" s="72">
        <v>48</v>
      </c>
      <c r="H150" s="72">
        <v>38</v>
      </c>
      <c r="I150" s="73">
        <v>0.41379310344827591</v>
      </c>
      <c r="J150" s="74">
        <v>8107.2</v>
      </c>
      <c r="K150" s="74">
        <v>3758.2</v>
      </c>
      <c r="L150" s="74">
        <v>11865.4</v>
      </c>
      <c r="M150" s="74">
        <v>168.9</v>
      </c>
      <c r="N150" s="74">
        <v>98.9</v>
      </c>
    </row>
    <row r="151" spans="1:14" x14ac:dyDescent="0.3">
      <c r="A151" s="75" t="s">
        <v>39</v>
      </c>
      <c r="B151" s="75" t="s">
        <v>35</v>
      </c>
      <c r="C151" s="75" t="s">
        <v>23</v>
      </c>
      <c r="D151" s="76">
        <v>46082</v>
      </c>
      <c r="E151" s="75" t="s">
        <v>148</v>
      </c>
      <c r="F151" s="77">
        <v>110</v>
      </c>
      <c r="G151" s="77">
        <v>42</v>
      </c>
      <c r="H151" s="77">
        <v>32</v>
      </c>
      <c r="I151" s="78">
        <v>0.38181818181818178</v>
      </c>
      <c r="J151" s="79">
        <v>8311.7999999999993</v>
      </c>
      <c r="K151" s="79">
        <v>3804.8</v>
      </c>
      <c r="L151" s="79">
        <v>12116.6</v>
      </c>
      <c r="M151" s="79">
        <v>197.9</v>
      </c>
      <c r="N151" s="79">
        <v>118.9</v>
      </c>
    </row>
    <row r="152" spans="1:14" x14ac:dyDescent="0.3">
      <c r="A152" s="70" t="s">
        <v>143</v>
      </c>
      <c r="B152" s="70" t="s">
        <v>35</v>
      </c>
      <c r="C152" s="70" t="s">
        <v>23</v>
      </c>
      <c r="D152" s="71">
        <v>46082</v>
      </c>
      <c r="E152" s="70" t="s">
        <v>148</v>
      </c>
      <c r="F152" s="72">
        <v>113</v>
      </c>
      <c r="G152" s="72">
        <v>46</v>
      </c>
      <c r="H152" s="72">
        <v>37</v>
      </c>
      <c r="I152" s="73">
        <v>0.40707964601769908</v>
      </c>
      <c r="J152" s="74">
        <v>9103.4</v>
      </c>
      <c r="K152" s="74">
        <v>4399.3</v>
      </c>
      <c r="L152" s="74">
        <v>13502.7</v>
      </c>
      <c r="M152" s="74">
        <v>197.9</v>
      </c>
      <c r="N152" s="74">
        <v>118.9</v>
      </c>
    </row>
    <row r="153" spans="1:14" x14ac:dyDescent="0.3">
      <c r="A153" s="75" t="s">
        <v>51</v>
      </c>
      <c r="B153" s="75" t="s">
        <v>35</v>
      </c>
      <c r="C153" s="75" t="s">
        <v>49</v>
      </c>
      <c r="D153" s="76">
        <v>46082</v>
      </c>
      <c r="E153" s="75" t="s">
        <v>148</v>
      </c>
      <c r="F153" s="77">
        <v>127</v>
      </c>
      <c r="G153" s="77">
        <v>58</v>
      </c>
      <c r="H153" s="77">
        <v>50</v>
      </c>
      <c r="I153" s="78">
        <v>0.45669291338582679</v>
      </c>
      <c r="J153" s="79">
        <v>9796.2000000000007</v>
      </c>
      <c r="K153" s="79">
        <v>4945</v>
      </c>
      <c r="L153" s="79">
        <v>14741.2</v>
      </c>
      <c r="M153" s="79">
        <v>168.9</v>
      </c>
      <c r="N153" s="79">
        <v>98.9</v>
      </c>
    </row>
    <row r="154" spans="1:14" x14ac:dyDescent="0.3">
      <c r="A154" s="70" t="s">
        <v>146</v>
      </c>
      <c r="B154" s="70" t="s">
        <v>35</v>
      </c>
      <c r="C154" s="70" t="s">
        <v>10</v>
      </c>
      <c r="D154" s="71">
        <v>46082</v>
      </c>
      <c r="E154" s="70" t="s">
        <v>148</v>
      </c>
      <c r="F154" s="72">
        <v>170</v>
      </c>
      <c r="G154" s="72">
        <v>102</v>
      </c>
      <c r="H154" s="72">
        <v>0</v>
      </c>
      <c r="I154" s="73">
        <v>0.6</v>
      </c>
      <c r="J154" s="74">
        <v>17227.8</v>
      </c>
      <c r="K154" s="74">
        <v>0</v>
      </c>
      <c r="L154" s="74">
        <v>17227.8</v>
      </c>
      <c r="M154" s="74">
        <v>168.9</v>
      </c>
      <c r="N154" s="74">
        <v>98.9</v>
      </c>
    </row>
    <row r="155" spans="1:14" x14ac:dyDescent="0.3">
      <c r="A155" s="75" t="s">
        <v>114</v>
      </c>
      <c r="B155" s="75" t="s">
        <v>94</v>
      </c>
      <c r="C155" s="75" t="s">
        <v>23</v>
      </c>
      <c r="D155" s="76">
        <v>46054</v>
      </c>
      <c r="E155" s="75" t="s">
        <v>149</v>
      </c>
      <c r="F155" s="77">
        <v>62</v>
      </c>
      <c r="G155" s="77">
        <v>0</v>
      </c>
      <c r="H155" s="77"/>
      <c r="I155" s="78">
        <v>0</v>
      </c>
      <c r="J155" s="79">
        <v>0</v>
      </c>
      <c r="K155" s="79">
        <v>0</v>
      </c>
      <c r="L155" s="79">
        <v>0</v>
      </c>
      <c r="M155" s="79">
        <v>197.9</v>
      </c>
      <c r="N155" s="79">
        <v>118.9</v>
      </c>
    </row>
    <row r="156" spans="1:14" x14ac:dyDescent="0.3">
      <c r="A156" s="70" t="s">
        <v>77</v>
      </c>
      <c r="B156" s="70" t="s">
        <v>60</v>
      </c>
      <c r="C156" s="70" t="s">
        <v>23</v>
      </c>
      <c r="D156" s="71">
        <v>46054</v>
      </c>
      <c r="E156" s="70" t="s">
        <v>149</v>
      </c>
      <c r="F156" s="72">
        <v>20</v>
      </c>
      <c r="G156" s="72">
        <v>0</v>
      </c>
      <c r="H156" s="72">
        <v>0</v>
      </c>
      <c r="I156" s="73">
        <v>0</v>
      </c>
      <c r="J156" s="74">
        <v>0</v>
      </c>
      <c r="K156" s="74">
        <v>0</v>
      </c>
      <c r="L156" s="74">
        <v>0</v>
      </c>
      <c r="M156" s="74">
        <v>197.9</v>
      </c>
      <c r="N156" s="74">
        <v>118.9</v>
      </c>
    </row>
    <row r="157" spans="1:14" x14ac:dyDescent="0.3">
      <c r="A157" s="75" t="s">
        <v>153</v>
      </c>
      <c r="B157" s="75" t="s">
        <v>55</v>
      </c>
      <c r="C157" s="75" t="s">
        <v>23</v>
      </c>
      <c r="D157" s="76">
        <v>46054</v>
      </c>
      <c r="E157" s="75" t="s">
        <v>149</v>
      </c>
      <c r="F157" s="77"/>
      <c r="G157" s="77"/>
      <c r="H157" s="77"/>
      <c r="I157" s="78"/>
      <c r="J157" s="79"/>
      <c r="K157" s="79"/>
      <c r="L157" s="79"/>
      <c r="M157" s="79">
        <v>197.9</v>
      </c>
      <c r="N157" s="79">
        <v>118.9</v>
      </c>
    </row>
    <row r="158" spans="1:14" x14ac:dyDescent="0.3">
      <c r="A158" s="70" t="s">
        <v>15</v>
      </c>
      <c r="B158" s="70" t="s">
        <v>16</v>
      </c>
      <c r="C158" s="70" t="s">
        <v>10</v>
      </c>
      <c r="D158" s="71">
        <v>46054</v>
      </c>
      <c r="E158" s="70" t="s">
        <v>149</v>
      </c>
      <c r="F158" s="72">
        <v>0</v>
      </c>
      <c r="G158" s="72">
        <v>0</v>
      </c>
      <c r="H158" s="72">
        <v>0</v>
      </c>
      <c r="I158" s="73">
        <v>0</v>
      </c>
      <c r="J158" s="74">
        <v>0</v>
      </c>
      <c r="K158" s="74">
        <v>0</v>
      </c>
      <c r="L158" s="74">
        <v>0</v>
      </c>
      <c r="M158" s="74">
        <v>168.9</v>
      </c>
      <c r="N158" s="74">
        <v>98.9</v>
      </c>
    </row>
    <row r="159" spans="1:14" x14ac:dyDescent="0.3">
      <c r="A159" s="75" t="s">
        <v>44</v>
      </c>
      <c r="B159" s="75" t="s">
        <v>35</v>
      </c>
      <c r="C159" s="75" t="s">
        <v>10</v>
      </c>
      <c r="D159" s="76">
        <v>46054</v>
      </c>
      <c r="E159" s="75" t="s">
        <v>149</v>
      </c>
      <c r="F159" s="77">
        <v>23</v>
      </c>
      <c r="G159" s="77">
        <v>0</v>
      </c>
      <c r="H159" s="77">
        <v>0</v>
      </c>
      <c r="I159" s="78">
        <v>0</v>
      </c>
      <c r="J159" s="79">
        <v>0</v>
      </c>
      <c r="K159" s="79">
        <v>0</v>
      </c>
      <c r="L159" s="79">
        <v>0</v>
      </c>
      <c r="M159" s="79">
        <v>168.9</v>
      </c>
      <c r="N159" s="79">
        <v>98.9</v>
      </c>
    </row>
    <row r="160" spans="1:14" x14ac:dyDescent="0.3">
      <c r="A160" s="70" t="s">
        <v>138</v>
      </c>
      <c r="B160" s="70" t="s">
        <v>87</v>
      </c>
      <c r="C160" s="70" t="s">
        <v>23</v>
      </c>
      <c r="D160" s="71">
        <v>46054</v>
      </c>
      <c r="E160" s="70" t="s">
        <v>149</v>
      </c>
      <c r="F160" s="72"/>
      <c r="G160" s="72"/>
      <c r="H160" s="72"/>
      <c r="I160" s="73"/>
      <c r="J160" s="74"/>
      <c r="K160" s="74"/>
      <c r="L160" s="74"/>
      <c r="M160" s="74">
        <v>197.9</v>
      </c>
      <c r="N160" s="74">
        <v>118.9</v>
      </c>
    </row>
    <row r="161" spans="1:14" x14ac:dyDescent="0.3">
      <c r="A161" s="75" t="s">
        <v>97</v>
      </c>
      <c r="B161" s="75" t="s">
        <v>94</v>
      </c>
      <c r="C161" s="75" t="s">
        <v>23</v>
      </c>
      <c r="D161" s="76">
        <v>46054</v>
      </c>
      <c r="E161" s="75" t="s">
        <v>149</v>
      </c>
      <c r="F161" s="77"/>
      <c r="G161" s="77"/>
      <c r="H161" s="77"/>
      <c r="I161" s="78"/>
      <c r="J161" s="79"/>
      <c r="K161" s="79"/>
      <c r="L161" s="79"/>
      <c r="M161" s="79">
        <v>197.9</v>
      </c>
      <c r="N161" s="79">
        <v>118.9</v>
      </c>
    </row>
    <row r="162" spans="1:14" x14ac:dyDescent="0.3">
      <c r="A162" s="70" t="s">
        <v>73</v>
      </c>
      <c r="B162" s="70" t="s">
        <v>35</v>
      </c>
      <c r="C162" s="70" t="s">
        <v>69</v>
      </c>
      <c r="D162" s="71">
        <v>46054</v>
      </c>
      <c r="E162" s="70" t="s">
        <v>149</v>
      </c>
      <c r="F162" s="72"/>
      <c r="G162" s="72"/>
      <c r="H162" s="72"/>
      <c r="I162" s="73"/>
      <c r="J162" s="74"/>
      <c r="K162" s="74"/>
      <c r="L162" s="74">
        <v>0</v>
      </c>
      <c r="M162" s="74">
        <v>168.9</v>
      </c>
      <c r="N162" s="74">
        <v>0</v>
      </c>
    </row>
    <row r="163" spans="1:14" x14ac:dyDescent="0.3">
      <c r="A163" s="75" t="s">
        <v>82</v>
      </c>
      <c r="B163" s="75" t="s">
        <v>55</v>
      </c>
      <c r="C163" s="75" t="s">
        <v>23</v>
      </c>
      <c r="D163" s="76">
        <v>46054</v>
      </c>
      <c r="E163" s="75" t="s">
        <v>149</v>
      </c>
      <c r="F163" s="77"/>
      <c r="G163" s="77"/>
      <c r="H163" s="77"/>
      <c r="I163" s="78"/>
      <c r="J163" s="79"/>
      <c r="K163" s="79"/>
      <c r="L163" s="79"/>
      <c r="M163" s="79">
        <v>197.9</v>
      </c>
      <c r="N163" s="79">
        <v>118.9</v>
      </c>
    </row>
    <row r="164" spans="1:14" x14ac:dyDescent="0.3">
      <c r="A164" s="70" t="s">
        <v>152</v>
      </c>
      <c r="B164" s="70" t="s">
        <v>55</v>
      </c>
      <c r="C164" s="70" t="s">
        <v>23</v>
      </c>
      <c r="D164" s="71">
        <v>46054</v>
      </c>
      <c r="E164" s="70" t="s">
        <v>149</v>
      </c>
      <c r="F164" s="72"/>
      <c r="G164" s="72"/>
      <c r="H164" s="72"/>
      <c r="I164" s="73"/>
      <c r="J164" s="74"/>
      <c r="K164" s="74"/>
      <c r="L164" s="74"/>
      <c r="M164" s="74">
        <v>197.9</v>
      </c>
      <c r="N164" s="74">
        <v>118.9</v>
      </c>
    </row>
    <row r="165" spans="1:14" x14ac:dyDescent="0.3">
      <c r="A165" s="75" t="s">
        <v>151</v>
      </c>
      <c r="B165" s="75" t="s">
        <v>55</v>
      </c>
      <c r="C165" s="75" t="s">
        <v>10</v>
      </c>
      <c r="D165" s="76">
        <v>46054</v>
      </c>
      <c r="E165" s="75" t="s">
        <v>149</v>
      </c>
      <c r="F165" s="77"/>
      <c r="G165" s="77"/>
      <c r="H165" s="77"/>
      <c r="I165" s="78"/>
      <c r="J165" s="79"/>
      <c r="K165" s="79"/>
      <c r="L165" s="79"/>
      <c r="M165" s="79">
        <v>168.9</v>
      </c>
      <c r="N165" s="79">
        <v>98.9</v>
      </c>
    </row>
    <row r="166" spans="1:14" x14ac:dyDescent="0.3">
      <c r="A166" s="70" t="s">
        <v>26</v>
      </c>
      <c r="B166" s="70" t="s">
        <v>22</v>
      </c>
      <c r="C166" s="70" t="s">
        <v>23</v>
      </c>
      <c r="D166" s="71">
        <v>46054</v>
      </c>
      <c r="E166" s="70" t="s">
        <v>149</v>
      </c>
      <c r="F166" s="72"/>
      <c r="G166" s="72"/>
      <c r="H166" s="72"/>
      <c r="I166" s="73"/>
      <c r="J166" s="74"/>
      <c r="K166" s="74"/>
      <c r="L166" s="74"/>
      <c r="M166" s="74">
        <v>197.9</v>
      </c>
      <c r="N166" s="74">
        <v>118.9</v>
      </c>
    </row>
    <row r="167" spans="1:14" x14ac:dyDescent="0.3">
      <c r="A167" s="75" t="s">
        <v>50</v>
      </c>
      <c r="B167" s="75" t="s">
        <v>35</v>
      </c>
      <c r="C167" s="75" t="s">
        <v>49</v>
      </c>
      <c r="D167" s="76">
        <v>46054</v>
      </c>
      <c r="E167" s="75" t="s">
        <v>149</v>
      </c>
      <c r="F167" s="77"/>
      <c r="G167" s="77"/>
      <c r="H167" s="77"/>
      <c r="I167" s="78"/>
      <c r="J167" s="79"/>
      <c r="K167" s="79"/>
      <c r="L167" s="79"/>
      <c r="M167" s="79">
        <v>168.9</v>
      </c>
      <c r="N167" s="79">
        <v>98.9</v>
      </c>
    </row>
    <row r="168" spans="1:14" x14ac:dyDescent="0.3">
      <c r="A168" s="70" t="s">
        <v>120</v>
      </c>
      <c r="B168" s="70" t="s">
        <v>35</v>
      </c>
      <c r="C168" s="70" t="s">
        <v>69</v>
      </c>
      <c r="D168" s="71">
        <v>46054</v>
      </c>
      <c r="E168" s="70" t="s">
        <v>149</v>
      </c>
      <c r="F168" s="72"/>
      <c r="G168" s="72"/>
      <c r="H168" s="72"/>
      <c r="I168" s="73"/>
      <c r="J168" s="74"/>
      <c r="K168" s="74"/>
      <c r="L168" s="74"/>
      <c r="M168" s="74">
        <v>168.9</v>
      </c>
      <c r="N168" s="74">
        <v>0</v>
      </c>
    </row>
    <row r="169" spans="1:14" x14ac:dyDescent="0.3">
      <c r="A169" s="75" t="s">
        <v>150</v>
      </c>
      <c r="B169" s="75" t="s">
        <v>94</v>
      </c>
      <c r="C169" s="75" t="s">
        <v>23</v>
      </c>
      <c r="D169" s="76">
        <v>46054</v>
      </c>
      <c r="E169" s="75" t="s">
        <v>149</v>
      </c>
      <c r="F169" s="77"/>
      <c r="G169" s="77"/>
      <c r="H169" s="77"/>
      <c r="I169" s="78"/>
      <c r="J169" s="79"/>
      <c r="K169" s="79"/>
      <c r="L169" s="79"/>
      <c r="M169" s="79">
        <v>197.9</v>
      </c>
      <c r="N169" s="79">
        <v>118.9</v>
      </c>
    </row>
    <row r="170" spans="1:14" x14ac:dyDescent="0.3">
      <c r="A170" s="70" t="s">
        <v>98</v>
      </c>
      <c r="B170" s="70" t="s">
        <v>94</v>
      </c>
      <c r="C170" s="70" t="s">
        <v>23</v>
      </c>
      <c r="D170" s="71">
        <v>46054</v>
      </c>
      <c r="E170" s="70" t="s">
        <v>149</v>
      </c>
      <c r="F170" s="72">
        <v>43</v>
      </c>
      <c r="G170" s="72">
        <v>0</v>
      </c>
      <c r="H170" s="72">
        <v>1</v>
      </c>
      <c r="I170" s="73">
        <v>0</v>
      </c>
      <c r="J170" s="74">
        <v>0</v>
      </c>
      <c r="K170" s="74">
        <v>118.9</v>
      </c>
      <c r="L170" s="74">
        <v>118.9</v>
      </c>
      <c r="M170" s="74">
        <v>197.9</v>
      </c>
      <c r="N170" s="74">
        <v>118.9</v>
      </c>
    </row>
    <row r="171" spans="1:14" x14ac:dyDescent="0.3">
      <c r="A171" s="75" t="s">
        <v>140</v>
      </c>
      <c r="B171" s="75" t="s">
        <v>35</v>
      </c>
      <c r="C171" s="75" t="s">
        <v>69</v>
      </c>
      <c r="D171" s="76">
        <v>46054</v>
      </c>
      <c r="E171" s="75" t="s">
        <v>149</v>
      </c>
      <c r="F171" s="77">
        <v>72</v>
      </c>
      <c r="G171" s="77">
        <v>1</v>
      </c>
      <c r="H171" s="77">
        <v>0</v>
      </c>
      <c r="I171" s="78">
        <v>1.388888888888889E-2</v>
      </c>
      <c r="J171" s="79">
        <v>168.9</v>
      </c>
      <c r="K171" s="79">
        <v>0</v>
      </c>
      <c r="L171" s="79">
        <v>168.9</v>
      </c>
      <c r="M171" s="79">
        <v>168.9</v>
      </c>
      <c r="N171" s="79">
        <v>0</v>
      </c>
    </row>
    <row r="172" spans="1:14" x14ac:dyDescent="0.3">
      <c r="A172" s="70" t="s">
        <v>76</v>
      </c>
      <c r="B172" s="70" t="s">
        <v>60</v>
      </c>
      <c r="C172" s="70" t="s">
        <v>23</v>
      </c>
      <c r="D172" s="71">
        <v>46054</v>
      </c>
      <c r="E172" s="70" t="s">
        <v>149</v>
      </c>
      <c r="F172" s="72">
        <v>13</v>
      </c>
      <c r="G172" s="72">
        <v>1</v>
      </c>
      <c r="H172" s="72">
        <v>0</v>
      </c>
      <c r="I172" s="73">
        <v>7.6923076923076927E-2</v>
      </c>
      <c r="J172" s="74">
        <v>197.9</v>
      </c>
      <c r="K172" s="74">
        <v>0</v>
      </c>
      <c r="L172" s="74">
        <v>197.9</v>
      </c>
      <c r="M172" s="74">
        <v>197.9</v>
      </c>
      <c r="N172" s="74">
        <v>118.9</v>
      </c>
    </row>
    <row r="173" spans="1:14" x14ac:dyDescent="0.3">
      <c r="A173" s="75" t="s">
        <v>90</v>
      </c>
      <c r="B173" s="75" t="s">
        <v>22</v>
      </c>
      <c r="C173" s="75" t="s">
        <v>23</v>
      </c>
      <c r="D173" s="76">
        <v>46054</v>
      </c>
      <c r="E173" s="75" t="s">
        <v>149</v>
      </c>
      <c r="F173" s="77">
        <v>44</v>
      </c>
      <c r="G173" s="77">
        <v>1</v>
      </c>
      <c r="H173" s="77">
        <v>1</v>
      </c>
      <c r="I173" s="78">
        <v>2.2727272727272731E-2</v>
      </c>
      <c r="J173" s="79">
        <v>197.9</v>
      </c>
      <c r="K173" s="79">
        <v>118.9</v>
      </c>
      <c r="L173" s="79">
        <v>316.8</v>
      </c>
      <c r="M173" s="79">
        <v>197.9</v>
      </c>
      <c r="N173" s="79">
        <v>118.9</v>
      </c>
    </row>
    <row r="174" spans="1:14" x14ac:dyDescent="0.3">
      <c r="A174" s="70" t="s">
        <v>88</v>
      </c>
      <c r="B174" s="70" t="s">
        <v>87</v>
      </c>
      <c r="C174" s="70" t="s">
        <v>23</v>
      </c>
      <c r="D174" s="71">
        <v>46054</v>
      </c>
      <c r="E174" s="70" t="s">
        <v>149</v>
      </c>
      <c r="F174" s="72">
        <v>57</v>
      </c>
      <c r="G174" s="72">
        <v>2</v>
      </c>
      <c r="H174" s="72">
        <v>0</v>
      </c>
      <c r="I174" s="73">
        <v>3.5087719298245612E-2</v>
      </c>
      <c r="J174" s="74">
        <v>395.8</v>
      </c>
      <c r="K174" s="74">
        <v>0</v>
      </c>
      <c r="L174" s="74">
        <v>395.8</v>
      </c>
      <c r="M174" s="74">
        <v>197.9</v>
      </c>
      <c r="N174" s="74">
        <v>118.9</v>
      </c>
    </row>
    <row r="175" spans="1:14" x14ac:dyDescent="0.3">
      <c r="A175" s="75" t="s">
        <v>139</v>
      </c>
      <c r="B175" s="75" t="s">
        <v>60</v>
      </c>
      <c r="C175" s="75" t="s">
        <v>23</v>
      </c>
      <c r="D175" s="76">
        <v>46054</v>
      </c>
      <c r="E175" s="75" t="s">
        <v>149</v>
      </c>
      <c r="F175" s="77">
        <v>18</v>
      </c>
      <c r="G175" s="77">
        <v>2</v>
      </c>
      <c r="H175" s="77">
        <v>0</v>
      </c>
      <c r="I175" s="78">
        <v>0.1111111111111111</v>
      </c>
      <c r="J175" s="79">
        <v>395.8</v>
      </c>
      <c r="K175" s="79">
        <v>0</v>
      </c>
      <c r="L175" s="79">
        <v>395.8</v>
      </c>
      <c r="M175" s="79">
        <v>197.9</v>
      </c>
      <c r="N175" s="79">
        <v>118.9</v>
      </c>
    </row>
    <row r="176" spans="1:14" x14ac:dyDescent="0.3">
      <c r="A176" s="70" t="s">
        <v>83</v>
      </c>
      <c r="B176" s="70" t="s">
        <v>55</v>
      </c>
      <c r="C176" s="70" t="s">
        <v>23</v>
      </c>
      <c r="D176" s="71">
        <v>46054</v>
      </c>
      <c r="E176" s="70" t="s">
        <v>149</v>
      </c>
      <c r="F176" s="72">
        <v>54</v>
      </c>
      <c r="G176" s="72">
        <v>2</v>
      </c>
      <c r="H176" s="72">
        <v>2</v>
      </c>
      <c r="I176" s="73">
        <v>3.7037037037037028E-2</v>
      </c>
      <c r="J176" s="74">
        <v>395.8</v>
      </c>
      <c r="K176" s="74">
        <v>237.8</v>
      </c>
      <c r="L176" s="74">
        <v>633.6</v>
      </c>
      <c r="M176" s="74">
        <v>197.9</v>
      </c>
      <c r="N176" s="74">
        <v>118.9</v>
      </c>
    </row>
    <row r="177" spans="1:14" x14ac:dyDescent="0.3">
      <c r="A177" s="75" t="s">
        <v>41</v>
      </c>
      <c r="B177" s="75" t="s">
        <v>35</v>
      </c>
      <c r="C177" s="75" t="s">
        <v>10</v>
      </c>
      <c r="D177" s="76">
        <v>46054</v>
      </c>
      <c r="E177" s="75" t="s">
        <v>149</v>
      </c>
      <c r="F177" s="77">
        <v>37</v>
      </c>
      <c r="G177" s="77">
        <v>4</v>
      </c>
      <c r="H177" s="77">
        <v>0</v>
      </c>
      <c r="I177" s="78">
        <v>0.1081081081081081</v>
      </c>
      <c r="J177" s="79">
        <v>675.6</v>
      </c>
      <c r="K177" s="79">
        <v>0</v>
      </c>
      <c r="L177" s="79">
        <v>675.6</v>
      </c>
      <c r="M177" s="79">
        <v>168.9</v>
      </c>
      <c r="N177" s="79">
        <v>98.9</v>
      </c>
    </row>
    <row r="178" spans="1:14" x14ac:dyDescent="0.3">
      <c r="A178" s="70" t="s">
        <v>133</v>
      </c>
      <c r="B178" s="70" t="s">
        <v>16</v>
      </c>
      <c r="C178" s="70" t="s">
        <v>10</v>
      </c>
      <c r="D178" s="71">
        <v>46054</v>
      </c>
      <c r="E178" s="70" t="s">
        <v>149</v>
      </c>
      <c r="F178" s="72">
        <v>74</v>
      </c>
      <c r="G178" s="72">
        <v>4</v>
      </c>
      <c r="H178" s="72">
        <v>0</v>
      </c>
      <c r="I178" s="73">
        <v>5.4054054054054057E-2</v>
      </c>
      <c r="J178" s="74">
        <v>675.6</v>
      </c>
      <c r="K178" s="74">
        <v>0</v>
      </c>
      <c r="L178" s="74">
        <v>675.6</v>
      </c>
      <c r="M178" s="74">
        <v>168.9</v>
      </c>
      <c r="N178" s="74">
        <v>98.9</v>
      </c>
    </row>
    <row r="179" spans="1:14" x14ac:dyDescent="0.3">
      <c r="A179" s="75" t="s">
        <v>136</v>
      </c>
      <c r="B179" s="75" t="s">
        <v>55</v>
      </c>
      <c r="C179" s="75" t="s">
        <v>10</v>
      </c>
      <c r="D179" s="76">
        <v>46054</v>
      </c>
      <c r="E179" s="75" t="s">
        <v>149</v>
      </c>
      <c r="F179" s="77">
        <v>53</v>
      </c>
      <c r="G179" s="77">
        <v>4</v>
      </c>
      <c r="H179" s="77">
        <v>0</v>
      </c>
      <c r="I179" s="78">
        <v>7.5471698113207544E-2</v>
      </c>
      <c r="J179" s="79">
        <v>675.6</v>
      </c>
      <c r="K179" s="79">
        <v>0</v>
      </c>
      <c r="L179" s="79">
        <v>675.6</v>
      </c>
      <c r="M179" s="79">
        <v>168.9</v>
      </c>
      <c r="N179" s="79">
        <v>98.9</v>
      </c>
    </row>
    <row r="180" spans="1:14" x14ac:dyDescent="0.3">
      <c r="A180" s="70" t="s">
        <v>12</v>
      </c>
      <c r="B180" s="70" t="s">
        <v>9</v>
      </c>
      <c r="C180" s="70" t="s">
        <v>10</v>
      </c>
      <c r="D180" s="71">
        <v>46054</v>
      </c>
      <c r="E180" s="70" t="s">
        <v>149</v>
      </c>
      <c r="F180" s="72">
        <v>48</v>
      </c>
      <c r="G180" s="72">
        <v>3</v>
      </c>
      <c r="H180" s="72">
        <v>3</v>
      </c>
      <c r="I180" s="73">
        <v>6.25E-2</v>
      </c>
      <c r="J180" s="74">
        <v>506.7</v>
      </c>
      <c r="K180" s="74">
        <v>296.7</v>
      </c>
      <c r="L180" s="74">
        <v>803.4</v>
      </c>
      <c r="M180" s="74">
        <v>168.9</v>
      </c>
      <c r="N180" s="74">
        <v>98.9</v>
      </c>
    </row>
    <row r="181" spans="1:14" x14ac:dyDescent="0.3">
      <c r="A181" s="75" t="s">
        <v>30</v>
      </c>
      <c r="B181" s="75" t="s">
        <v>16</v>
      </c>
      <c r="C181" s="75" t="s">
        <v>10</v>
      </c>
      <c r="D181" s="76">
        <v>46054</v>
      </c>
      <c r="E181" s="75" t="s">
        <v>149</v>
      </c>
      <c r="F181" s="77">
        <v>57</v>
      </c>
      <c r="G181" s="77">
        <v>5</v>
      </c>
      <c r="H181" s="77">
        <v>0</v>
      </c>
      <c r="I181" s="78">
        <v>8.771929824561403E-2</v>
      </c>
      <c r="J181" s="79">
        <v>844.5</v>
      </c>
      <c r="K181" s="79">
        <v>0</v>
      </c>
      <c r="L181" s="79">
        <v>844.5</v>
      </c>
      <c r="M181" s="79">
        <v>168.9</v>
      </c>
      <c r="N181" s="79">
        <v>98.9</v>
      </c>
    </row>
    <row r="182" spans="1:14" x14ac:dyDescent="0.3">
      <c r="A182" s="70" t="s">
        <v>135</v>
      </c>
      <c r="B182" s="70" t="s">
        <v>55</v>
      </c>
      <c r="C182" s="70" t="s">
        <v>23</v>
      </c>
      <c r="D182" s="71">
        <v>46054</v>
      </c>
      <c r="E182" s="70" t="s">
        <v>149</v>
      </c>
      <c r="F182" s="72">
        <v>61</v>
      </c>
      <c r="G182" s="72">
        <v>3</v>
      </c>
      <c r="H182" s="72">
        <v>3</v>
      </c>
      <c r="I182" s="73">
        <v>4.9180327868852458E-2</v>
      </c>
      <c r="J182" s="74">
        <v>593.70000000000005</v>
      </c>
      <c r="K182" s="74">
        <v>356.7</v>
      </c>
      <c r="L182" s="74">
        <v>950.4</v>
      </c>
      <c r="M182" s="74">
        <v>197.9</v>
      </c>
      <c r="N182" s="74">
        <v>118.9</v>
      </c>
    </row>
    <row r="183" spans="1:14" x14ac:dyDescent="0.3">
      <c r="A183" s="75" t="s">
        <v>141</v>
      </c>
      <c r="B183" s="75" t="s">
        <v>35</v>
      </c>
      <c r="C183" s="75" t="s">
        <v>10</v>
      </c>
      <c r="D183" s="76">
        <v>46054</v>
      </c>
      <c r="E183" s="75" t="s">
        <v>149</v>
      </c>
      <c r="F183" s="77">
        <v>25</v>
      </c>
      <c r="G183" s="77">
        <v>6</v>
      </c>
      <c r="H183" s="77">
        <v>0</v>
      </c>
      <c r="I183" s="78">
        <v>0.24</v>
      </c>
      <c r="J183" s="79">
        <v>1013.4</v>
      </c>
      <c r="K183" s="79">
        <v>0</v>
      </c>
      <c r="L183" s="79">
        <v>1013.4</v>
      </c>
      <c r="M183" s="79">
        <v>168.9</v>
      </c>
      <c r="N183" s="79">
        <v>98.9</v>
      </c>
    </row>
    <row r="184" spans="1:14" x14ac:dyDescent="0.3">
      <c r="A184" s="70" t="s">
        <v>31</v>
      </c>
      <c r="B184" s="70" t="s">
        <v>16</v>
      </c>
      <c r="C184" s="70" t="s">
        <v>10</v>
      </c>
      <c r="D184" s="71">
        <v>46054</v>
      </c>
      <c r="E184" s="70" t="s">
        <v>149</v>
      </c>
      <c r="F184" s="72">
        <v>67</v>
      </c>
      <c r="G184" s="72">
        <v>6</v>
      </c>
      <c r="H184" s="72">
        <v>0</v>
      </c>
      <c r="I184" s="73">
        <v>8.9552238805970144E-2</v>
      </c>
      <c r="J184" s="74">
        <v>1013.4</v>
      </c>
      <c r="K184" s="74">
        <v>0</v>
      </c>
      <c r="L184" s="74">
        <v>1013.4</v>
      </c>
      <c r="M184" s="74">
        <v>168.9</v>
      </c>
      <c r="N184" s="74">
        <v>98.9</v>
      </c>
    </row>
    <row r="185" spans="1:14" x14ac:dyDescent="0.3">
      <c r="A185" s="75" t="s">
        <v>115</v>
      </c>
      <c r="B185" s="75" t="s">
        <v>94</v>
      </c>
      <c r="C185" s="75" t="s">
        <v>23</v>
      </c>
      <c r="D185" s="76">
        <v>46054</v>
      </c>
      <c r="E185" s="75" t="s">
        <v>149</v>
      </c>
      <c r="F185" s="77">
        <v>64</v>
      </c>
      <c r="G185" s="77">
        <v>5</v>
      </c>
      <c r="H185" s="77">
        <v>1</v>
      </c>
      <c r="I185" s="78">
        <v>7.8125E-2</v>
      </c>
      <c r="J185" s="79">
        <v>989.5</v>
      </c>
      <c r="K185" s="79">
        <v>118.9</v>
      </c>
      <c r="L185" s="79">
        <v>1108.4000000000001</v>
      </c>
      <c r="M185" s="79">
        <v>197.9</v>
      </c>
      <c r="N185" s="79">
        <v>118.9</v>
      </c>
    </row>
    <row r="186" spans="1:14" x14ac:dyDescent="0.3">
      <c r="A186" s="70" t="s">
        <v>59</v>
      </c>
      <c r="B186" s="70" t="s">
        <v>60</v>
      </c>
      <c r="C186" s="70" t="s">
        <v>23</v>
      </c>
      <c r="D186" s="71">
        <v>46054</v>
      </c>
      <c r="E186" s="70" t="s">
        <v>149</v>
      </c>
      <c r="F186" s="72">
        <v>23</v>
      </c>
      <c r="G186" s="72">
        <v>6</v>
      </c>
      <c r="H186" s="72">
        <v>0</v>
      </c>
      <c r="I186" s="73">
        <v>0.2608695652173913</v>
      </c>
      <c r="J186" s="74">
        <v>1187.4000000000001</v>
      </c>
      <c r="K186" s="74">
        <v>0</v>
      </c>
      <c r="L186" s="74">
        <v>1187.4000000000001</v>
      </c>
      <c r="M186" s="74">
        <v>197.9</v>
      </c>
      <c r="N186" s="74">
        <v>118.9</v>
      </c>
    </row>
    <row r="187" spans="1:14" x14ac:dyDescent="0.3">
      <c r="A187" s="75" t="s">
        <v>142</v>
      </c>
      <c r="B187" s="75" t="s">
        <v>9</v>
      </c>
      <c r="C187" s="75" t="s">
        <v>10</v>
      </c>
      <c r="D187" s="76">
        <v>46054</v>
      </c>
      <c r="E187" s="75" t="s">
        <v>149</v>
      </c>
      <c r="F187" s="77">
        <v>113</v>
      </c>
      <c r="G187" s="77">
        <v>9</v>
      </c>
      <c r="H187" s="77">
        <v>0</v>
      </c>
      <c r="I187" s="78">
        <v>7.9646017699115043E-2</v>
      </c>
      <c r="J187" s="79">
        <v>1520.1</v>
      </c>
      <c r="K187" s="79">
        <v>0</v>
      </c>
      <c r="L187" s="79">
        <v>1520.1</v>
      </c>
      <c r="M187" s="79">
        <v>168.9</v>
      </c>
      <c r="N187" s="79">
        <v>98.9</v>
      </c>
    </row>
    <row r="188" spans="1:14" x14ac:dyDescent="0.3">
      <c r="A188" s="70" t="s">
        <v>19</v>
      </c>
      <c r="B188" s="70" t="s">
        <v>9</v>
      </c>
      <c r="C188" s="70" t="s">
        <v>10</v>
      </c>
      <c r="D188" s="71">
        <v>46054</v>
      </c>
      <c r="E188" s="70" t="s">
        <v>149</v>
      </c>
      <c r="F188" s="72">
        <v>80</v>
      </c>
      <c r="G188" s="72">
        <v>10</v>
      </c>
      <c r="H188" s="72">
        <v>1</v>
      </c>
      <c r="I188" s="73">
        <v>0.125</v>
      </c>
      <c r="J188" s="74">
        <v>1689</v>
      </c>
      <c r="K188" s="74">
        <v>98.9</v>
      </c>
      <c r="L188" s="74">
        <v>1787.9</v>
      </c>
      <c r="M188" s="74">
        <v>168.9</v>
      </c>
      <c r="N188" s="74">
        <v>98.9</v>
      </c>
    </row>
    <row r="189" spans="1:14" x14ac:dyDescent="0.3">
      <c r="A189" s="75" t="s">
        <v>62</v>
      </c>
      <c r="B189" s="75" t="s">
        <v>55</v>
      </c>
      <c r="C189" s="75" t="s">
        <v>10</v>
      </c>
      <c r="D189" s="76">
        <v>46054</v>
      </c>
      <c r="E189" s="75" t="s">
        <v>149</v>
      </c>
      <c r="F189" s="77">
        <v>69</v>
      </c>
      <c r="G189" s="77">
        <v>10</v>
      </c>
      <c r="H189" s="77">
        <v>1</v>
      </c>
      <c r="I189" s="78">
        <v>0.14492753623188409</v>
      </c>
      <c r="J189" s="79">
        <v>1689</v>
      </c>
      <c r="K189" s="79">
        <v>98.9</v>
      </c>
      <c r="L189" s="79">
        <v>1787.9</v>
      </c>
      <c r="M189" s="79">
        <v>168.9</v>
      </c>
      <c r="N189" s="79">
        <v>98.9</v>
      </c>
    </row>
    <row r="190" spans="1:14" x14ac:dyDescent="0.3">
      <c r="A190" s="70" t="s">
        <v>145</v>
      </c>
      <c r="B190" s="70" t="s">
        <v>35</v>
      </c>
      <c r="C190" s="70" t="s">
        <v>69</v>
      </c>
      <c r="D190" s="71">
        <v>46054</v>
      </c>
      <c r="E190" s="70" t="s">
        <v>149</v>
      </c>
      <c r="F190" s="72">
        <v>101</v>
      </c>
      <c r="G190" s="72">
        <v>12</v>
      </c>
      <c r="H190" s="72">
        <v>0</v>
      </c>
      <c r="I190" s="73">
        <v>0.11881188118811881</v>
      </c>
      <c r="J190" s="74">
        <v>2026.8</v>
      </c>
      <c r="K190" s="74">
        <v>0</v>
      </c>
      <c r="L190" s="74">
        <v>2026.8</v>
      </c>
      <c r="M190" s="74">
        <v>168.9</v>
      </c>
      <c r="N190" s="74">
        <v>0</v>
      </c>
    </row>
    <row r="191" spans="1:14" x14ac:dyDescent="0.3">
      <c r="A191" s="75" t="s">
        <v>56</v>
      </c>
      <c r="B191" s="75" t="s">
        <v>55</v>
      </c>
      <c r="C191" s="75" t="s">
        <v>10</v>
      </c>
      <c r="D191" s="76">
        <v>46054</v>
      </c>
      <c r="E191" s="75" t="s">
        <v>149</v>
      </c>
      <c r="F191" s="77">
        <v>58</v>
      </c>
      <c r="G191" s="77">
        <v>12</v>
      </c>
      <c r="H191" s="77">
        <v>0</v>
      </c>
      <c r="I191" s="78">
        <v>0.2068965517241379</v>
      </c>
      <c r="J191" s="79">
        <v>2026.8</v>
      </c>
      <c r="K191" s="79">
        <v>0</v>
      </c>
      <c r="L191" s="79">
        <v>2026.8</v>
      </c>
      <c r="M191" s="79">
        <v>168.9</v>
      </c>
      <c r="N191" s="79">
        <v>98.9</v>
      </c>
    </row>
    <row r="192" spans="1:14" x14ac:dyDescent="0.3">
      <c r="A192" s="70" t="s">
        <v>36</v>
      </c>
      <c r="B192" s="70" t="s">
        <v>35</v>
      </c>
      <c r="C192" s="70" t="s">
        <v>23</v>
      </c>
      <c r="D192" s="71">
        <v>46054</v>
      </c>
      <c r="E192" s="70" t="s">
        <v>149</v>
      </c>
      <c r="F192" s="72">
        <v>48</v>
      </c>
      <c r="G192" s="72">
        <v>10</v>
      </c>
      <c r="H192" s="72">
        <v>1</v>
      </c>
      <c r="I192" s="73">
        <v>0.20833333333333329</v>
      </c>
      <c r="J192" s="74">
        <v>1979</v>
      </c>
      <c r="K192" s="74">
        <v>118.9</v>
      </c>
      <c r="L192" s="74">
        <v>2097.9</v>
      </c>
      <c r="M192" s="74">
        <v>197.9</v>
      </c>
      <c r="N192" s="74">
        <v>118.9</v>
      </c>
    </row>
    <row r="193" spans="1:14" x14ac:dyDescent="0.3">
      <c r="A193" s="75" t="s">
        <v>61</v>
      </c>
      <c r="B193" s="75" t="s">
        <v>35</v>
      </c>
      <c r="C193" s="75" t="s">
        <v>49</v>
      </c>
      <c r="D193" s="76">
        <v>46054</v>
      </c>
      <c r="E193" s="75" t="s">
        <v>149</v>
      </c>
      <c r="F193" s="77">
        <v>49</v>
      </c>
      <c r="G193" s="77">
        <v>8</v>
      </c>
      <c r="H193" s="77">
        <v>8</v>
      </c>
      <c r="I193" s="78">
        <v>0.16326530612244899</v>
      </c>
      <c r="J193" s="79">
        <v>1351.2</v>
      </c>
      <c r="K193" s="79">
        <v>791.2</v>
      </c>
      <c r="L193" s="79">
        <v>2142.4</v>
      </c>
      <c r="M193" s="79">
        <v>168.9</v>
      </c>
      <c r="N193" s="79">
        <v>98.9</v>
      </c>
    </row>
    <row r="194" spans="1:14" x14ac:dyDescent="0.3">
      <c r="A194" s="70" t="s">
        <v>52</v>
      </c>
      <c r="B194" s="70" t="s">
        <v>35</v>
      </c>
      <c r="C194" s="70" t="s">
        <v>49</v>
      </c>
      <c r="D194" s="71">
        <v>46054</v>
      </c>
      <c r="E194" s="70" t="s">
        <v>149</v>
      </c>
      <c r="F194" s="72">
        <v>96</v>
      </c>
      <c r="G194" s="72">
        <v>14</v>
      </c>
      <c r="H194" s="72">
        <v>8</v>
      </c>
      <c r="I194" s="73">
        <v>0.14583333333333329</v>
      </c>
      <c r="J194" s="74">
        <v>2364.6</v>
      </c>
      <c r="K194" s="74">
        <v>791.2</v>
      </c>
      <c r="L194" s="74">
        <v>3155.8</v>
      </c>
      <c r="M194" s="74">
        <v>168.9</v>
      </c>
      <c r="N194" s="74">
        <v>98.9</v>
      </c>
    </row>
    <row r="195" spans="1:14" x14ac:dyDescent="0.3">
      <c r="A195" s="75" t="s">
        <v>137</v>
      </c>
      <c r="B195" s="75" t="s">
        <v>35</v>
      </c>
      <c r="C195" s="75" t="s">
        <v>69</v>
      </c>
      <c r="D195" s="76">
        <v>46054</v>
      </c>
      <c r="E195" s="75" t="s">
        <v>149</v>
      </c>
      <c r="F195" s="77">
        <v>117</v>
      </c>
      <c r="G195" s="77">
        <v>22</v>
      </c>
      <c r="H195" s="77">
        <v>0</v>
      </c>
      <c r="I195" s="78">
        <v>0.188034188034188</v>
      </c>
      <c r="J195" s="79">
        <v>3715.8</v>
      </c>
      <c r="K195" s="79">
        <v>0</v>
      </c>
      <c r="L195" s="79">
        <v>3715.8</v>
      </c>
      <c r="M195" s="79">
        <v>168.9</v>
      </c>
      <c r="N195" s="79">
        <v>0</v>
      </c>
    </row>
    <row r="196" spans="1:14" x14ac:dyDescent="0.3">
      <c r="A196" s="70" t="s">
        <v>64</v>
      </c>
      <c r="B196" s="70" t="s">
        <v>65</v>
      </c>
      <c r="C196" s="70" t="s">
        <v>49</v>
      </c>
      <c r="D196" s="71">
        <v>46054</v>
      </c>
      <c r="E196" s="70" t="s">
        <v>149</v>
      </c>
      <c r="F196" s="72">
        <v>94</v>
      </c>
      <c r="G196" s="72">
        <v>15</v>
      </c>
      <c r="H196" s="72">
        <v>12</v>
      </c>
      <c r="I196" s="73">
        <v>0.15957446808510639</v>
      </c>
      <c r="J196" s="74">
        <v>2533.5</v>
      </c>
      <c r="K196" s="74">
        <v>1186.8</v>
      </c>
      <c r="L196" s="74">
        <v>3720.3</v>
      </c>
      <c r="M196" s="74">
        <v>168.9</v>
      </c>
      <c r="N196" s="74">
        <v>98.9</v>
      </c>
    </row>
    <row r="197" spans="1:14" x14ac:dyDescent="0.3">
      <c r="A197" s="75" t="s">
        <v>25</v>
      </c>
      <c r="B197" s="75" t="s">
        <v>22</v>
      </c>
      <c r="C197" s="75" t="s">
        <v>23</v>
      </c>
      <c r="D197" s="76">
        <v>46054</v>
      </c>
      <c r="E197" s="75" t="s">
        <v>149</v>
      </c>
      <c r="F197" s="77">
        <v>75</v>
      </c>
      <c r="G197" s="77">
        <v>15</v>
      </c>
      <c r="H197" s="77">
        <v>8</v>
      </c>
      <c r="I197" s="78">
        <v>0.2</v>
      </c>
      <c r="J197" s="79">
        <v>2968.5</v>
      </c>
      <c r="K197" s="79">
        <v>951.2</v>
      </c>
      <c r="L197" s="79">
        <v>3919.7</v>
      </c>
      <c r="M197" s="79">
        <v>197.9</v>
      </c>
      <c r="N197" s="79">
        <v>118.9</v>
      </c>
    </row>
    <row r="198" spans="1:14" x14ac:dyDescent="0.3">
      <c r="A198" s="70" t="s">
        <v>24</v>
      </c>
      <c r="B198" s="70" t="s">
        <v>22</v>
      </c>
      <c r="C198" s="70" t="s">
        <v>23</v>
      </c>
      <c r="D198" s="71">
        <v>46054</v>
      </c>
      <c r="E198" s="70" t="s">
        <v>149</v>
      </c>
      <c r="F198" s="72">
        <v>71</v>
      </c>
      <c r="G198" s="72">
        <v>20</v>
      </c>
      <c r="H198" s="72">
        <v>5</v>
      </c>
      <c r="I198" s="73">
        <v>0.28169014084507038</v>
      </c>
      <c r="J198" s="74">
        <v>3958</v>
      </c>
      <c r="K198" s="74">
        <v>594.5</v>
      </c>
      <c r="L198" s="74">
        <v>4552.5</v>
      </c>
      <c r="M198" s="74">
        <v>197.9</v>
      </c>
      <c r="N198" s="74">
        <v>118.9</v>
      </c>
    </row>
    <row r="199" spans="1:14" x14ac:dyDescent="0.3">
      <c r="A199" s="75" t="s">
        <v>91</v>
      </c>
      <c r="B199" s="75" t="s">
        <v>87</v>
      </c>
      <c r="C199" s="75" t="s">
        <v>23</v>
      </c>
      <c r="D199" s="76">
        <v>46054</v>
      </c>
      <c r="E199" s="75" t="s">
        <v>149</v>
      </c>
      <c r="F199" s="77">
        <v>67</v>
      </c>
      <c r="G199" s="77">
        <v>16</v>
      </c>
      <c r="H199" s="77">
        <v>15</v>
      </c>
      <c r="I199" s="78">
        <v>0.2388059701492537</v>
      </c>
      <c r="J199" s="79">
        <v>3166.4</v>
      </c>
      <c r="K199" s="79">
        <v>1783.5</v>
      </c>
      <c r="L199" s="79">
        <v>4949.8999999999996</v>
      </c>
      <c r="M199" s="79">
        <v>197.9</v>
      </c>
      <c r="N199" s="79">
        <v>118.9</v>
      </c>
    </row>
    <row r="200" spans="1:14" x14ac:dyDescent="0.3">
      <c r="A200" s="70" t="s">
        <v>144</v>
      </c>
      <c r="B200" s="70" t="s">
        <v>35</v>
      </c>
      <c r="C200" s="70" t="s">
        <v>23</v>
      </c>
      <c r="D200" s="71">
        <v>46054</v>
      </c>
      <c r="E200" s="70" t="s">
        <v>149</v>
      </c>
      <c r="F200" s="72">
        <v>46</v>
      </c>
      <c r="G200" s="72">
        <v>19</v>
      </c>
      <c r="H200" s="72">
        <v>13</v>
      </c>
      <c r="I200" s="73">
        <v>0.41304347826086962</v>
      </c>
      <c r="J200" s="74">
        <v>3760.1</v>
      </c>
      <c r="K200" s="74">
        <v>1545.7</v>
      </c>
      <c r="L200" s="74">
        <v>5305.8</v>
      </c>
      <c r="M200" s="74">
        <v>197.9</v>
      </c>
      <c r="N200" s="74">
        <v>118.9</v>
      </c>
    </row>
    <row r="201" spans="1:14" x14ac:dyDescent="0.3">
      <c r="A201" s="75" t="s">
        <v>27</v>
      </c>
      <c r="B201" s="75" t="s">
        <v>22</v>
      </c>
      <c r="C201" s="75" t="s">
        <v>23</v>
      </c>
      <c r="D201" s="76">
        <v>46054</v>
      </c>
      <c r="E201" s="75" t="s">
        <v>149</v>
      </c>
      <c r="F201" s="77">
        <v>79</v>
      </c>
      <c r="G201" s="77">
        <v>32</v>
      </c>
      <c r="H201" s="77">
        <v>0</v>
      </c>
      <c r="I201" s="78">
        <v>0.4050632911392405</v>
      </c>
      <c r="J201" s="79">
        <v>6332.8</v>
      </c>
      <c r="K201" s="79">
        <v>0</v>
      </c>
      <c r="L201" s="79">
        <v>6332.8</v>
      </c>
      <c r="M201" s="79">
        <v>197.9</v>
      </c>
      <c r="N201" s="79">
        <v>118.9</v>
      </c>
    </row>
    <row r="202" spans="1:14" x14ac:dyDescent="0.3">
      <c r="A202" s="70" t="s">
        <v>146</v>
      </c>
      <c r="B202" s="70" t="s">
        <v>35</v>
      </c>
      <c r="C202" s="70" t="s">
        <v>10</v>
      </c>
      <c r="D202" s="71">
        <v>46054</v>
      </c>
      <c r="E202" s="70" t="s">
        <v>149</v>
      </c>
      <c r="F202" s="72">
        <v>118</v>
      </c>
      <c r="G202" s="72">
        <v>40</v>
      </c>
      <c r="H202" s="72">
        <v>0</v>
      </c>
      <c r="I202" s="73">
        <v>0.33898305084745761</v>
      </c>
      <c r="J202" s="74">
        <v>6756</v>
      </c>
      <c r="K202" s="74">
        <v>0</v>
      </c>
      <c r="L202" s="74">
        <v>6756</v>
      </c>
      <c r="M202" s="74">
        <v>168.9</v>
      </c>
      <c r="N202" s="74">
        <v>98.9</v>
      </c>
    </row>
    <row r="203" spans="1:14" x14ac:dyDescent="0.3">
      <c r="A203" s="75" t="s">
        <v>39</v>
      </c>
      <c r="B203" s="75" t="s">
        <v>35</v>
      </c>
      <c r="C203" s="75" t="s">
        <v>23</v>
      </c>
      <c r="D203" s="76">
        <v>46054</v>
      </c>
      <c r="E203" s="75" t="s">
        <v>149</v>
      </c>
      <c r="F203" s="77">
        <v>113</v>
      </c>
      <c r="G203" s="77">
        <v>26</v>
      </c>
      <c r="H203" s="77">
        <v>14</v>
      </c>
      <c r="I203" s="78">
        <v>0.23008849557522121</v>
      </c>
      <c r="J203" s="79">
        <v>5145.3999999999996</v>
      </c>
      <c r="K203" s="79">
        <v>1664.6</v>
      </c>
      <c r="L203" s="79">
        <v>6810</v>
      </c>
      <c r="M203" s="79">
        <v>197.9</v>
      </c>
      <c r="N203" s="79">
        <v>118.9</v>
      </c>
    </row>
    <row r="204" spans="1:14" x14ac:dyDescent="0.3">
      <c r="A204" s="70" t="s">
        <v>143</v>
      </c>
      <c r="B204" s="70" t="s">
        <v>35</v>
      </c>
      <c r="C204" s="70" t="s">
        <v>23</v>
      </c>
      <c r="D204" s="71">
        <v>46054</v>
      </c>
      <c r="E204" s="70" t="s">
        <v>149</v>
      </c>
      <c r="F204" s="72">
        <v>71</v>
      </c>
      <c r="G204" s="72">
        <v>26</v>
      </c>
      <c r="H204" s="72">
        <v>16</v>
      </c>
      <c r="I204" s="73">
        <v>0.36619718309859162</v>
      </c>
      <c r="J204" s="74">
        <v>5145.3999999999996</v>
      </c>
      <c r="K204" s="74">
        <v>1902.4</v>
      </c>
      <c r="L204" s="74">
        <v>7047.8</v>
      </c>
      <c r="M204" s="74">
        <v>197.9</v>
      </c>
      <c r="N204" s="74">
        <v>118.9</v>
      </c>
    </row>
    <row r="205" spans="1:14" x14ac:dyDescent="0.3">
      <c r="A205" s="75" t="s">
        <v>51</v>
      </c>
      <c r="B205" s="75" t="s">
        <v>35</v>
      </c>
      <c r="C205" s="75" t="s">
        <v>49</v>
      </c>
      <c r="D205" s="76">
        <v>46054</v>
      </c>
      <c r="E205" s="75" t="s">
        <v>149</v>
      </c>
      <c r="F205" s="77">
        <v>118</v>
      </c>
      <c r="G205" s="77">
        <v>36</v>
      </c>
      <c r="H205" s="77">
        <v>31</v>
      </c>
      <c r="I205" s="78">
        <v>0.30508474576271188</v>
      </c>
      <c r="J205" s="79">
        <v>6080.4</v>
      </c>
      <c r="K205" s="79">
        <v>3065.9</v>
      </c>
      <c r="L205" s="79">
        <v>9146.2999999999993</v>
      </c>
      <c r="M205" s="79">
        <v>168.9</v>
      </c>
      <c r="N205" s="79">
        <v>98.9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2D4A-B393-44B6-B684-848C40E8BA35}">
  <dimension ref="A1:D14"/>
  <sheetViews>
    <sheetView workbookViewId="0">
      <selection sqref="A1:D14"/>
    </sheetView>
  </sheetViews>
  <sheetFormatPr defaultRowHeight="14.4" x14ac:dyDescent="0.3"/>
  <cols>
    <col min="1" max="1" width="15.33203125" bestFit="1" customWidth="1"/>
    <col min="2" max="2" width="6.44140625" bestFit="1" customWidth="1"/>
    <col min="3" max="4" width="9.33203125" bestFit="1" customWidth="1"/>
  </cols>
  <sheetData>
    <row r="1" spans="1:4" ht="39.6" x14ac:dyDescent="0.3">
      <c r="A1" s="69" t="s">
        <v>3</v>
      </c>
      <c r="B1" s="69" t="s">
        <v>4</v>
      </c>
      <c r="C1" s="69" t="s">
        <v>131</v>
      </c>
      <c r="D1" s="69" t="s">
        <v>132</v>
      </c>
    </row>
    <row r="2" spans="1:4" x14ac:dyDescent="0.3">
      <c r="A2" s="70" t="s">
        <v>16</v>
      </c>
      <c r="B2" s="70" t="s">
        <v>10</v>
      </c>
      <c r="C2" s="74">
        <v>168.9</v>
      </c>
      <c r="D2" s="74">
        <v>98.9</v>
      </c>
    </row>
    <row r="3" spans="1:4" x14ac:dyDescent="0.3">
      <c r="A3" s="75" t="s">
        <v>55</v>
      </c>
      <c r="B3" s="75" t="s">
        <v>23</v>
      </c>
      <c r="C3" s="79">
        <v>197.9</v>
      </c>
      <c r="D3" s="79">
        <v>118.9</v>
      </c>
    </row>
    <row r="4" spans="1:4" x14ac:dyDescent="0.3">
      <c r="A4" s="70" t="s">
        <v>22</v>
      </c>
      <c r="B4" s="70" t="s">
        <v>23</v>
      </c>
      <c r="C4" s="74">
        <v>197.9</v>
      </c>
      <c r="D4" s="74">
        <v>118.9</v>
      </c>
    </row>
    <row r="5" spans="1:4" x14ac:dyDescent="0.3">
      <c r="A5" s="75" t="s">
        <v>35</v>
      </c>
      <c r="B5" s="75" t="s">
        <v>49</v>
      </c>
      <c r="C5" s="79">
        <v>168.9</v>
      </c>
      <c r="D5" s="79">
        <v>98.9</v>
      </c>
    </row>
    <row r="6" spans="1:4" x14ac:dyDescent="0.3">
      <c r="A6" s="75" t="s">
        <v>94</v>
      </c>
      <c r="B6" s="75" t="s">
        <v>23</v>
      </c>
      <c r="C6" s="79">
        <v>197.9</v>
      </c>
      <c r="D6" s="79">
        <v>118.9</v>
      </c>
    </row>
    <row r="7" spans="1:4" x14ac:dyDescent="0.3">
      <c r="A7" s="70" t="s">
        <v>35</v>
      </c>
      <c r="B7" s="70" t="s">
        <v>69</v>
      </c>
      <c r="C7" s="74">
        <v>168.9</v>
      </c>
      <c r="D7" s="74">
        <v>0</v>
      </c>
    </row>
    <row r="8" spans="1:4" x14ac:dyDescent="0.3">
      <c r="A8" s="70" t="s">
        <v>55</v>
      </c>
      <c r="B8" s="70" t="s">
        <v>10</v>
      </c>
      <c r="C8" s="74">
        <v>168.9</v>
      </c>
      <c r="D8" s="74">
        <v>98.9</v>
      </c>
    </row>
    <row r="9" spans="1:4" x14ac:dyDescent="0.3">
      <c r="A9" s="75" t="s">
        <v>60</v>
      </c>
      <c r="B9" s="75" t="s">
        <v>23</v>
      </c>
      <c r="C9" s="79">
        <v>197.9</v>
      </c>
      <c r="D9" s="79">
        <v>118.9</v>
      </c>
    </row>
    <row r="10" spans="1:4" x14ac:dyDescent="0.3">
      <c r="A10" s="75" t="s">
        <v>87</v>
      </c>
      <c r="B10" s="75" t="s">
        <v>23</v>
      </c>
      <c r="C10" s="79">
        <v>197.9</v>
      </c>
      <c r="D10" s="79">
        <v>118.9</v>
      </c>
    </row>
    <row r="11" spans="1:4" x14ac:dyDescent="0.3">
      <c r="A11" s="75" t="s">
        <v>35</v>
      </c>
      <c r="B11" s="75" t="s">
        <v>10</v>
      </c>
      <c r="C11" s="79">
        <v>168.9</v>
      </c>
      <c r="D11" s="79">
        <v>98.9</v>
      </c>
    </row>
    <row r="12" spans="1:4" x14ac:dyDescent="0.3">
      <c r="A12" s="70" t="s">
        <v>35</v>
      </c>
      <c r="B12" s="70" t="s">
        <v>23</v>
      </c>
      <c r="C12" s="74">
        <v>197.9</v>
      </c>
      <c r="D12" s="74">
        <v>118.9</v>
      </c>
    </row>
    <row r="13" spans="1:4" x14ac:dyDescent="0.3">
      <c r="A13" s="70" t="s">
        <v>9</v>
      </c>
      <c r="B13" s="70" t="s">
        <v>10</v>
      </c>
      <c r="C13" s="74">
        <v>168.9</v>
      </c>
      <c r="D13" s="74">
        <v>98.9</v>
      </c>
    </row>
    <row r="14" spans="1:4" x14ac:dyDescent="0.3">
      <c r="A14" s="70" t="s">
        <v>65</v>
      </c>
      <c r="B14" s="70" t="s">
        <v>49</v>
      </c>
      <c r="C14" s="74">
        <v>168.9</v>
      </c>
      <c r="D14" s="74">
        <v>98.9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Oliveira</dc:creator>
  <cp:lastModifiedBy>Iasmin Baciega</cp:lastModifiedBy>
  <cp:lastPrinted>2026-06-02T12:02:59Z</cp:lastPrinted>
  <dcterms:created xsi:type="dcterms:W3CDTF">2026-05-26T12:18:14Z</dcterms:created>
  <dcterms:modified xsi:type="dcterms:W3CDTF">2026-06-19T19:13:00Z</dcterms:modified>
</cp:coreProperties>
</file>